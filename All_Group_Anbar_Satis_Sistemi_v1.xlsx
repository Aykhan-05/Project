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Menyu" sheetId="1" r:id="rId4"/>
    <sheet state="visible" name="Anbar_Idxal" sheetId="2" r:id="rId5"/>
    <sheet state="visible" name="Mehsullar" sheetId="3" r:id="rId6"/>
    <sheet state="visible" name="Musteriler" sheetId="4" r:id="rId7"/>
    <sheet state="visible" name="Satislar" sheetId="5" r:id="rId8"/>
    <sheet state="visible" name="Proforma" sheetId="6" r:id="rId9"/>
    <sheet state="visible" name="Stok" sheetId="7" r:id="rId10"/>
    <sheet state="visible" name="Hesabat" sheetId="8" r:id="rId11"/>
    <sheet state="visible" name="Odenisler" sheetId="9" r:id="rId12"/>
    <sheet state="visible" name="Istifadeciler" sheetId="10" r:id="rId13"/>
    <sheet state="visible" name="AI_Tehlukesizlik" sheetId="11" r:id="rId14"/>
  </sheets>
  <definedNames>
    <definedName hidden="1" localSheetId="0" name="_xlnm._FilterDatabase">'Ana Menyu'!$A$1:$D$13</definedName>
    <definedName hidden="1" localSheetId="1" name="_xlnm._FilterDatabase">Anbar_Idxal!$A$1:$O$101</definedName>
    <definedName hidden="1" localSheetId="2" name="_xlnm._FilterDatabase">Mehsullar!$A$1:$G$1</definedName>
    <definedName hidden="1" localSheetId="3" name="_xlnm._FilterDatabase">Musteriler!$A$1:$H$1</definedName>
    <definedName hidden="1" localSheetId="4" name="_xlnm._FilterDatabase">Satislar!$A$1:$O$501</definedName>
    <definedName hidden="1" localSheetId="5" name="_xlnm._FilterDatabase">Proforma!$A$1:$I$504</definedName>
    <definedName hidden="1" localSheetId="6" name="_xlnm._FilterDatabase">Stok!$A$1:$H$501</definedName>
    <definedName hidden="1" localSheetId="7" name="_xlnm._FilterDatabase">Hesabat!$A$1:$G$8</definedName>
    <definedName hidden="1" localSheetId="8" name="_xlnm._FilterDatabase">Odenisler!$A$1:$G$1</definedName>
    <definedName hidden="1" localSheetId="9" name="_xlnm._FilterDatabase">Istifadeciler!$A$1:$D$6</definedName>
    <definedName hidden="1" localSheetId="10" name="_xlnm._FilterDatabase">AI_Tehlukesizlik!$A$1:$A$9</definedName>
  </definedNames>
  <calcPr/>
</workbook>
</file>

<file path=xl/sharedStrings.xml><?xml version="1.0" encoding="utf-8"?>
<sst xmlns="http://schemas.openxmlformats.org/spreadsheetml/2006/main" count="123" uniqueCount="84">
  <si>
    <t>ŞİRKƏT ANBAR + SATIŞ SİSTEMİ</t>
  </si>
  <si>
    <t>Bölmə</t>
  </si>
  <si>
    <t>Təyinat</t>
  </si>
  <si>
    <t>Anbar / İdxal</t>
  </si>
  <si>
    <t>İdxal olunan malların qeydiyyatı və anbara giriş</t>
  </si>
  <si>
    <t>Satış</t>
  </si>
  <si>
    <t>Müştərilərə daxili satışlar</t>
  </si>
  <si>
    <t>Müştərilər</t>
  </si>
  <si>
    <t>Müştəri kartları və əlaqə məlumatları</t>
  </si>
  <si>
    <t>Ödənişlər</t>
  </si>
  <si>
    <t>Daxil olan ödənişlərin uçotu</t>
  </si>
  <si>
    <t>Borclar</t>
  </si>
  <si>
    <t>Yalnız daxili uçot üçün müştəri borcları</t>
  </si>
  <si>
    <t>Proforma</t>
  </si>
  <si>
    <t>Avtomatik proforma hazırlamaq</t>
  </si>
  <si>
    <t>Stok</t>
  </si>
  <si>
    <t>Məhsul qalığı və hərəkəti</t>
  </si>
  <si>
    <t>Hesabat</t>
  </si>
  <si>
    <t>Aylıq / illik satış və müştəri hesabatları</t>
  </si>
  <si>
    <t>İstifadəçilər</t>
  </si>
  <si>
    <t>Rol və giriş hüquqları</t>
  </si>
  <si>
    <t>AI / Claude</t>
  </si>
  <si>
    <t>Yalnız icazəli məlumatlar üzrə sorğular</t>
  </si>
  <si>
    <t>İdxal tarixi</t>
  </si>
  <si>
    <t>Təchizatçı</t>
  </si>
  <si>
    <t>Invoice / Proforma №</t>
  </si>
  <si>
    <t>Gömrük bəyannaməsi №</t>
  </si>
  <si>
    <t>Mənşə ölkə</t>
  </si>
  <si>
    <t>Məhsul adı</t>
  </si>
  <si>
    <t>Məhsul kodu</t>
  </si>
  <si>
    <t>Miqdar</t>
  </si>
  <si>
    <t>Vahid</t>
  </si>
  <si>
    <t>Kg</t>
  </si>
  <si>
    <t>Vahid qiymət USD</t>
  </si>
  <si>
    <t>Cəmi USD</t>
  </si>
  <si>
    <t>Anbara daxil olma tarixi</t>
  </si>
  <si>
    <t>Lot</t>
  </si>
  <si>
    <t>Qeyd</t>
  </si>
  <si>
    <t>Standart alış qiyməti USD</t>
  </si>
  <si>
    <t>Standart satış qiyməti USD</t>
  </si>
  <si>
    <t>Minimum stok</t>
  </si>
  <si>
    <t>Aktiv</t>
  </si>
  <si>
    <t>Müştəri kodu</t>
  </si>
  <si>
    <t>Müştəri adı</t>
  </si>
  <si>
    <t>VÖEN</t>
  </si>
  <si>
    <t>Telefon</t>
  </si>
  <si>
    <t>E-mail</t>
  </si>
  <si>
    <t>Ünvan</t>
  </si>
  <si>
    <t>Satış №</t>
  </si>
  <si>
    <t>Tarix</t>
  </si>
  <si>
    <t>Vahid satış qiyməti USD</t>
  </si>
  <si>
    <t>Ödənilən USD</t>
  </si>
  <si>
    <t>Daxili borc USD</t>
  </si>
  <si>
    <t>Proforma №</t>
  </si>
  <si>
    <t>Müştəri</t>
  </si>
  <si>
    <t>QEYD:</t>
  </si>
  <si>
    <t>Proformada müştərinin daxili borcu və ödəniş balansı göstərilmir.</t>
  </si>
  <si>
    <t>İdxal miqdarı</t>
  </si>
  <si>
    <t>Satış miqdarı</t>
  </si>
  <si>
    <t>Qalıq</t>
  </si>
  <si>
    <t>Status</t>
  </si>
  <si>
    <t>AYLIQ SATIŞ HESABATI</t>
  </si>
  <si>
    <t>Ay</t>
  </si>
  <si>
    <t>İl</t>
  </si>
  <si>
    <t>Satış sayı</t>
  </si>
  <si>
    <t>Satış USD</t>
  </si>
  <si>
    <t>Bu v1 prototipində müştəri adları və aylıq nəticələr üçün Satışlar məlumatı istifadə olunur.</t>
  </si>
  <si>
    <t>Ödəniş №</t>
  </si>
  <si>
    <t>Məbləğ USD</t>
  </si>
  <si>
    <t>Ödəniş üsulu</t>
  </si>
  <si>
    <t>İstifadəçi</t>
  </si>
  <si>
    <t>Rol</t>
  </si>
  <si>
    <t>Admin</t>
  </si>
  <si>
    <t>Anbar</t>
  </si>
  <si>
    <t>Mühasibat</t>
  </si>
  <si>
    <t>AI məhdud giriş</t>
  </si>
  <si>
    <t>AI / CLAUDE MƏLUMAT GİRİŞ QAYDASI</t>
  </si>
  <si>
    <t>1. AI bütün məlumat bazasına sərbəst giriş almır.</t>
  </si>
  <si>
    <t>2. Hər sorğu əvvəlcə istifadəçi və rol üzrə yoxlanılır.</t>
  </si>
  <si>
    <t>3. Yalnız sorğu üçün lazım olan minimum məlumat AI-yə ötürülür.</t>
  </si>
  <si>
    <t>4. Müştəri borcu, alış qiyməti və digər daxili məlumatlar icazəsiz göstərilmir.</t>
  </si>
  <si>
    <t>5. Proforma/Invoice sənədində daxili borc və hesab qalığı göstərilmir.</t>
  </si>
  <si>
    <t>6. Bütün AI sorğuları audit jurnalında qeyd edilməlidir.</t>
  </si>
  <si>
    <t>7. Real tətbiqdə HTTPS, şifrələnmiş baza, 2FA və API açarlarının təhlükəsiz saxlanması tətbiq edilməlidir.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</si>
</sst>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6.0"/>
      <color rgb="FFFFFFFF"/>
    </font>
    <font/>
    <font>
      <sz val="11.0"/>
      <color/>
      <name val="Calibri"/>
    </font>
    <font>
      <b/>
      <sz val="12.0"/>
      <color rgb="FFFFFFFF"/>
    </font>
    <font>
      <b/>
      <sz val="14.0"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4" numFmtId="0" xfId="0" applyAlignment="1" applyBorder="1" applyFill="1" applyFont="1">
      <alignment vertical="center"/>
    </xf>
    <xf borderId="5" fillId="0" fontId="3" numFmtId="0" xfId="0" applyAlignment="1" applyBorder="1" applyFont="1">
      <alignment vertical="center"/>
    </xf>
    <xf borderId="4" fillId="2" fontId="5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65.0"/>
    <col customWidth="1" min="3" max="4" width="18.0"/>
    <col customWidth="1" min="5" max="11" width="8.71"/>
  </cols>
  <sheetData>
    <row r="1">
      <c r="A1" s="1" t="s">
        <v>0</v>
      </c>
      <c r="B1" s="2"/>
      <c r="C1" s="2"/>
      <c r="D1" s="3"/>
    </row>
    <row r="2">
      <c r="A2" s="4"/>
      <c r="B2" s="4"/>
      <c r="C2" s="4"/>
      <c r="D2" s="4"/>
    </row>
    <row r="3">
      <c r="A3" s="5" t="s">
        <v>1</v>
      </c>
      <c r="B3" s="5" t="s">
        <v>2</v>
      </c>
      <c r="C3" s="4"/>
      <c r="D3" s="4"/>
    </row>
    <row r="4">
      <c r="A4" s="4" t="s">
        <v>3</v>
      </c>
      <c r="B4" s="4" t="s">
        <v>4</v>
      </c>
      <c r="C4" s="4"/>
      <c r="D4" s="4"/>
    </row>
    <row r="5">
      <c r="A5" s="4" t="s">
        <v>5</v>
      </c>
      <c r="B5" s="4" t="s">
        <v>6</v>
      </c>
      <c r="C5" s="4"/>
      <c r="D5" s="4"/>
    </row>
    <row r="6">
      <c r="A6" s="4" t="s">
        <v>7</v>
      </c>
      <c r="B6" s="4" t="s">
        <v>8</v>
      </c>
      <c r="C6" s="4"/>
      <c r="D6" s="4"/>
    </row>
    <row r="7">
      <c r="A7" s="4" t="s">
        <v>9</v>
      </c>
      <c r="B7" s="4" t="s">
        <v>10</v>
      </c>
      <c r="C7" s="4"/>
      <c r="D7" s="4"/>
    </row>
    <row r="8">
      <c r="A8" s="4" t="s">
        <v>11</v>
      </c>
      <c r="B8" s="4" t="s">
        <v>12</v>
      </c>
      <c r="C8" s="4"/>
      <c r="D8" s="4"/>
    </row>
    <row r="9">
      <c r="A9" s="4" t="s">
        <v>13</v>
      </c>
      <c r="B9" s="4" t="s">
        <v>14</v>
      </c>
      <c r="C9" s="4"/>
      <c r="D9" s="4"/>
    </row>
    <row r="10">
      <c r="A10" s="4" t="s">
        <v>15</v>
      </c>
      <c r="B10" s="4" t="s">
        <v>16</v>
      </c>
      <c r="C10" s="4"/>
      <c r="D10" s="4"/>
    </row>
    <row r="11">
      <c r="A11" s="4" t="s">
        <v>17</v>
      </c>
      <c r="B11" s="4" t="s">
        <v>18</v>
      </c>
      <c r="C11" s="4"/>
      <c r="D11" s="4"/>
    </row>
    <row r="12">
      <c r="A12" s="4" t="s">
        <v>19</v>
      </c>
      <c r="B12" s="4" t="s">
        <v>20</v>
      </c>
      <c r="C12" s="4"/>
      <c r="D12" s="4"/>
    </row>
    <row r="13">
      <c r="A13" s="4" t="s">
        <v>21</v>
      </c>
      <c r="B13" s="4" t="s">
        <v>22</v>
      </c>
      <c r="C13" s="4"/>
      <c r="D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13"/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5.0"/>
    <col customWidth="1" min="3" max="3" width="22.0"/>
    <col customWidth="1" min="4" max="4" width="24.0"/>
    <col customWidth="1" min="5" max="5" width="16.0"/>
    <col customWidth="1" min="6" max="6" width="28.0"/>
    <col customWidth="1" min="7" max="7" width="16.0"/>
    <col customWidth="1" min="8" max="8" width="12.0"/>
    <col customWidth="1" min="9" max="9" width="10.0"/>
    <col customWidth="1" min="10" max="10" width="12.0"/>
    <col customWidth="1" min="11" max="11" width="18.0"/>
    <col customWidth="1" min="12" max="12" width="16.0"/>
    <col customWidth="1" min="13" max="13" width="24.0"/>
    <col customWidth="1" min="14" max="14" width="14.0"/>
    <col customWidth="1" min="15" max="15" width="30.0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 t="str">
        <f t="shared" ref="L2:L101" si="1">IF(OR(H2="",K2=""),"",H2*K2)</f>
        <v/>
      </c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 t="str">
        <f t="shared" si="1"/>
        <v/>
      </c>
      <c r="M3" s="6"/>
      <c r="N3" s="6"/>
      <c r="O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 t="str">
        <f t="shared" si="1"/>
        <v/>
      </c>
      <c r="M4" s="6"/>
      <c r="N4" s="6"/>
      <c r="O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 t="str">
        <f t="shared" si="1"/>
        <v/>
      </c>
      <c r="M5" s="6"/>
      <c r="N5" s="6"/>
      <c r="O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 t="str">
        <f t="shared" si="1"/>
        <v/>
      </c>
      <c r="M6" s="6"/>
      <c r="N6" s="6"/>
      <c r="O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 t="str">
        <f t="shared" si="1"/>
        <v/>
      </c>
      <c r="M7" s="6"/>
      <c r="N7" s="6"/>
      <c r="O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 t="str">
        <f t="shared" si="1"/>
        <v/>
      </c>
      <c r="M8" s="6"/>
      <c r="N8" s="6"/>
      <c r="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 t="str">
        <f t="shared" si="1"/>
        <v/>
      </c>
      <c r="M9" s="6"/>
      <c r="N9" s="6"/>
      <c r="O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 t="str">
        <f t="shared" si="1"/>
        <v/>
      </c>
      <c r="M10" s="6"/>
      <c r="N10" s="6"/>
      <c r="O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 t="str">
        <f t="shared" si="1"/>
        <v/>
      </c>
      <c r="M11" s="6"/>
      <c r="N11" s="6"/>
      <c r="O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 t="str">
        <f t="shared" si="1"/>
        <v/>
      </c>
      <c r="M12" s="6"/>
      <c r="N12" s="6"/>
      <c r="O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 t="str">
        <f t="shared" si="1"/>
        <v/>
      </c>
      <c r="M13" s="6"/>
      <c r="N13" s="6"/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 t="str">
        <f t="shared" si="1"/>
        <v/>
      </c>
      <c r="M14" s="6"/>
      <c r="N14" s="6"/>
      <c r="O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 t="str">
        <f t="shared" si="1"/>
        <v/>
      </c>
      <c r="M15" s="6"/>
      <c r="N15" s="6"/>
      <c r="O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 t="str">
        <f t="shared" si="1"/>
        <v/>
      </c>
      <c r="M16" s="6"/>
      <c r="N16" s="6"/>
      <c r="O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 t="str">
        <f t="shared" si="1"/>
        <v/>
      </c>
      <c r="M17" s="6"/>
      <c r="N17" s="6"/>
      <c r="O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 t="str">
        <f t="shared" si="1"/>
        <v/>
      </c>
      <c r="M18" s="6"/>
      <c r="N18" s="6"/>
      <c r="O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 t="str">
        <f t="shared" si="1"/>
        <v/>
      </c>
      <c r="M19" s="6"/>
      <c r="N19" s="6"/>
      <c r="O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 t="str">
        <f t="shared" si="1"/>
        <v/>
      </c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 t="str">
        <f t="shared" si="1"/>
        <v/>
      </c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 t="str">
        <f t="shared" si="1"/>
        <v/>
      </c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 t="str">
        <f t="shared" si="1"/>
        <v/>
      </c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 t="str">
        <f t="shared" si="1"/>
        <v/>
      </c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 t="str">
        <f t="shared" si="1"/>
        <v/>
      </c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 t="str">
        <f t="shared" si="1"/>
        <v/>
      </c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 t="str">
        <f t="shared" si="1"/>
        <v/>
      </c>
      <c r="M27" s="6"/>
      <c r="N27" s="6"/>
      <c r="O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 t="str">
        <f t="shared" si="1"/>
        <v/>
      </c>
      <c r="M28" s="6"/>
      <c r="N28" s="6"/>
      <c r="O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 t="str">
        <f t="shared" si="1"/>
        <v/>
      </c>
      <c r="M29" s="6"/>
      <c r="N29" s="6"/>
      <c r="O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 t="str">
        <f t="shared" si="1"/>
        <v/>
      </c>
      <c r="M30" s="6"/>
      <c r="N30" s="6"/>
      <c r="O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 t="str">
        <f t="shared" si="1"/>
        <v/>
      </c>
      <c r="M31" s="6"/>
      <c r="N31" s="6"/>
      <c r="O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 t="str">
        <f t="shared" si="1"/>
        <v/>
      </c>
      <c r="M32" s="6"/>
      <c r="N32" s="6"/>
      <c r="O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 t="str">
        <f t="shared" si="1"/>
        <v/>
      </c>
      <c r="M33" s="6"/>
      <c r="N33" s="6"/>
      <c r="O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 t="str">
        <f t="shared" si="1"/>
        <v/>
      </c>
      <c r="M34" s="6"/>
      <c r="N34" s="6"/>
      <c r="O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 t="str">
        <f t="shared" si="1"/>
        <v/>
      </c>
      <c r="M35" s="6"/>
      <c r="N35" s="6"/>
      <c r="O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 t="str">
        <f t="shared" si="1"/>
        <v/>
      </c>
      <c r="M36" s="6"/>
      <c r="N36" s="6"/>
      <c r="O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 t="str">
        <f t="shared" si="1"/>
        <v/>
      </c>
      <c r="M37" s="6"/>
      <c r="N37" s="6"/>
      <c r="O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 t="str">
        <f t="shared" si="1"/>
        <v/>
      </c>
      <c r="M38" s="6"/>
      <c r="N38" s="6"/>
      <c r="O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 t="str">
        <f t="shared" si="1"/>
        <v/>
      </c>
      <c r="M39" s="6"/>
      <c r="N39" s="6"/>
      <c r="O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 t="str">
        <f t="shared" si="1"/>
        <v/>
      </c>
      <c r="M40" s="6"/>
      <c r="N40" s="6"/>
      <c r="O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 t="str">
        <f t="shared" si="1"/>
        <v/>
      </c>
      <c r="M41" s="6"/>
      <c r="N41" s="6"/>
      <c r="O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 t="str">
        <f t="shared" si="1"/>
        <v/>
      </c>
      <c r="M42" s="6"/>
      <c r="N42" s="6"/>
      <c r="O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 t="str">
        <f t="shared" si="1"/>
        <v/>
      </c>
      <c r="M43" s="6"/>
      <c r="N43" s="6"/>
      <c r="O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 t="str">
        <f t="shared" si="1"/>
        <v/>
      </c>
      <c r="M44" s="6"/>
      <c r="N44" s="6"/>
      <c r="O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 t="str">
        <f t="shared" si="1"/>
        <v/>
      </c>
      <c r="M45" s="6"/>
      <c r="N45" s="6"/>
      <c r="O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 t="str">
        <f t="shared" si="1"/>
        <v/>
      </c>
      <c r="M46" s="6"/>
      <c r="N46" s="6"/>
      <c r="O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 t="str">
        <f t="shared" si="1"/>
        <v/>
      </c>
      <c r="M47" s="6"/>
      <c r="N47" s="6"/>
      <c r="O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 t="str">
        <f t="shared" si="1"/>
        <v/>
      </c>
      <c r="M48" s="6"/>
      <c r="N48" s="6"/>
      <c r="O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 t="str">
        <f t="shared" si="1"/>
        <v/>
      </c>
      <c r="M49" s="6"/>
      <c r="N49" s="6"/>
      <c r="O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 t="str">
        <f t="shared" si="1"/>
        <v/>
      </c>
      <c r="M50" s="6"/>
      <c r="N50" s="6"/>
      <c r="O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 t="str">
        <f t="shared" si="1"/>
        <v/>
      </c>
      <c r="M51" s="6"/>
      <c r="N51" s="6"/>
      <c r="O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 t="str">
        <f t="shared" si="1"/>
        <v/>
      </c>
      <c r="M52" s="6"/>
      <c r="N52" s="6"/>
      <c r="O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 t="str">
        <f t="shared" si="1"/>
        <v/>
      </c>
      <c r="M53" s="6"/>
      <c r="N53" s="6"/>
      <c r="O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 t="str">
        <f t="shared" si="1"/>
        <v/>
      </c>
      <c r="M54" s="6"/>
      <c r="N54" s="6"/>
      <c r="O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 t="str">
        <f t="shared" si="1"/>
        <v/>
      </c>
      <c r="M55" s="6"/>
      <c r="N55" s="6"/>
      <c r="O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 t="str">
        <f t="shared" si="1"/>
        <v/>
      </c>
      <c r="M56" s="6"/>
      <c r="N56" s="6"/>
      <c r="O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 t="str">
        <f t="shared" si="1"/>
        <v/>
      </c>
      <c r="M57" s="6"/>
      <c r="N57" s="6"/>
      <c r="O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 t="str">
        <f t="shared" si="1"/>
        <v/>
      </c>
      <c r="M58" s="6"/>
      <c r="N58" s="6"/>
      <c r="O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 t="str">
        <f t="shared" si="1"/>
        <v/>
      </c>
      <c r="M59" s="6"/>
      <c r="N59" s="6"/>
      <c r="O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 t="str">
        <f t="shared" si="1"/>
        <v/>
      </c>
      <c r="M60" s="6"/>
      <c r="N60" s="6"/>
      <c r="O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 t="str">
        <f t="shared" si="1"/>
        <v/>
      </c>
      <c r="M61" s="6"/>
      <c r="N61" s="6"/>
      <c r="O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 t="str">
        <f t="shared" si="1"/>
        <v/>
      </c>
      <c r="M62" s="6"/>
      <c r="N62" s="6"/>
      <c r="O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 t="str">
        <f t="shared" si="1"/>
        <v/>
      </c>
      <c r="M63" s="6"/>
      <c r="N63" s="6"/>
      <c r="O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 t="str">
        <f t="shared" si="1"/>
        <v/>
      </c>
      <c r="M64" s="6"/>
      <c r="N64" s="6"/>
      <c r="O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 t="str">
        <f t="shared" si="1"/>
        <v/>
      </c>
      <c r="M65" s="6"/>
      <c r="N65" s="6"/>
      <c r="O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 t="str">
        <f t="shared" si="1"/>
        <v/>
      </c>
      <c r="M66" s="6"/>
      <c r="N66" s="6"/>
      <c r="O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 t="str">
        <f t="shared" si="1"/>
        <v/>
      </c>
      <c r="M67" s="6"/>
      <c r="N67" s="6"/>
      <c r="O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 t="str">
        <f t="shared" si="1"/>
        <v/>
      </c>
      <c r="M68" s="6"/>
      <c r="N68" s="6"/>
      <c r="O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 t="str">
        <f t="shared" si="1"/>
        <v/>
      </c>
      <c r="M69" s="6"/>
      <c r="N69" s="6"/>
      <c r="O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 t="str">
        <f t="shared" si="1"/>
        <v/>
      </c>
      <c r="M70" s="6"/>
      <c r="N70" s="6"/>
      <c r="O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 t="str">
        <f t="shared" si="1"/>
        <v/>
      </c>
      <c r="M71" s="6"/>
      <c r="N71" s="6"/>
      <c r="O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 t="str">
        <f t="shared" si="1"/>
        <v/>
      </c>
      <c r="M72" s="6"/>
      <c r="N72" s="6"/>
      <c r="O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 t="str">
        <f t="shared" si="1"/>
        <v/>
      </c>
      <c r="M73" s="6"/>
      <c r="N73" s="6"/>
      <c r="O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 t="str">
        <f t="shared" si="1"/>
        <v/>
      </c>
      <c r="M74" s="6"/>
      <c r="N74" s="6"/>
      <c r="O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 t="str">
        <f t="shared" si="1"/>
        <v/>
      </c>
      <c r="M75" s="6"/>
      <c r="N75" s="6"/>
      <c r="O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 t="str">
        <f t="shared" si="1"/>
        <v/>
      </c>
      <c r="M76" s="6"/>
      <c r="N76" s="6"/>
      <c r="O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 t="str">
        <f t="shared" si="1"/>
        <v/>
      </c>
      <c r="M77" s="6"/>
      <c r="N77" s="6"/>
      <c r="O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 t="str">
        <f t="shared" si="1"/>
        <v/>
      </c>
      <c r="M78" s="6"/>
      <c r="N78" s="6"/>
      <c r="O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 t="str">
        <f t="shared" si="1"/>
        <v/>
      </c>
      <c r="M79" s="6"/>
      <c r="N79" s="6"/>
      <c r="O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 t="str">
        <f t="shared" si="1"/>
        <v/>
      </c>
      <c r="M80" s="6"/>
      <c r="N80" s="6"/>
      <c r="O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 t="str">
        <f t="shared" si="1"/>
        <v/>
      </c>
      <c r="M81" s="6"/>
      <c r="N81" s="6"/>
      <c r="O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 t="str">
        <f t="shared" si="1"/>
        <v/>
      </c>
      <c r="M82" s="6"/>
      <c r="N82" s="6"/>
      <c r="O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 t="str">
        <f t="shared" si="1"/>
        <v/>
      </c>
      <c r="M83" s="6"/>
      <c r="N83" s="6"/>
      <c r="O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 t="str">
        <f t="shared" si="1"/>
        <v/>
      </c>
      <c r="M84" s="6"/>
      <c r="N84" s="6"/>
      <c r="O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 t="str">
        <f t="shared" si="1"/>
        <v/>
      </c>
      <c r="M85" s="6"/>
      <c r="N85" s="6"/>
      <c r="O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 t="str">
        <f t="shared" si="1"/>
        <v/>
      </c>
      <c r="M86" s="6"/>
      <c r="N86" s="6"/>
      <c r="O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 t="str">
        <f t="shared" si="1"/>
        <v/>
      </c>
      <c r="M87" s="6"/>
      <c r="N87" s="6"/>
      <c r="O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 t="str">
        <f t="shared" si="1"/>
        <v/>
      </c>
      <c r="M88" s="6"/>
      <c r="N88" s="6"/>
      <c r="O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 t="str">
        <f t="shared" si="1"/>
        <v/>
      </c>
      <c r="M89" s="6"/>
      <c r="N89" s="6"/>
      <c r="O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 t="str">
        <f t="shared" si="1"/>
        <v/>
      </c>
      <c r="M90" s="6"/>
      <c r="N90" s="6"/>
      <c r="O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 t="str">
        <f t="shared" si="1"/>
        <v/>
      </c>
      <c r="M91" s="6"/>
      <c r="N91" s="6"/>
      <c r="O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 t="str">
        <f t="shared" si="1"/>
        <v/>
      </c>
      <c r="M92" s="6"/>
      <c r="N92" s="6"/>
      <c r="O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 t="str">
        <f t="shared" si="1"/>
        <v/>
      </c>
      <c r="M93" s="6"/>
      <c r="N93" s="6"/>
      <c r="O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 t="str">
        <f t="shared" si="1"/>
        <v/>
      </c>
      <c r="M94" s="6"/>
      <c r="N94" s="6"/>
      <c r="O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 t="str">
        <f t="shared" si="1"/>
        <v/>
      </c>
      <c r="M95" s="6"/>
      <c r="N95" s="6"/>
      <c r="O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 t="str">
        <f t="shared" si="1"/>
        <v/>
      </c>
      <c r="M96" s="6"/>
      <c r="N96" s="6"/>
      <c r="O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 t="str">
        <f t="shared" si="1"/>
        <v/>
      </c>
      <c r="M97" s="6"/>
      <c r="N97" s="6"/>
      <c r="O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 t="str">
        <f t="shared" si="1"/>
        <v/>
      </c>
      <c r="M98" s="6"/>
      <c r="N98" s="6"/>
      <c r="O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 t="str">
        <f t="shared" si="1"/>
        <v/>
      </c>
      <c r="M99" s="6"/>
      <c r="N99" s="6"/>
      <c r="O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 t="str">
        <f t="shared" si="1"/>
        <v/>
      </c>
      <c r="M100" s="6"/>
      <c r="N100" s="6"/>
      <c r="O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 t="str">
        <f t="shared" si="1"/>
        <v/>
      </c>
      <c r="M101" s="6"/>
      <c r="N101" s="6"/>
      <c r="O101" s="6"/>
    </row>
  </sheetData>
  <autoFilter ref="$A$1:$O$1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2.0"/>
    <col customWidth="1" min="4" max="5" width="22.0"/>
    <col customWidth="1" min="6" max="6" width="15.0"/>
    <col customWidth="1" min="7" max="7" width="12.0"/>
    <col customWidth="1" min="8" max="11" width="8.71"/>
  </cols>
  <sheetData>
    <row r="1">
      <c r="A1" s="5" t="s">
        <v>29</v>
      </c>
      <c r="B1" s="5" t="s">
        <v>28</v>
      </c>
      <c r="C1" s="5" t="s">
        <v>31</v>
      </c>
      <c r="D1" s="5" t="s">
        <v>38</v>
      </c>
      <c r="E1" s="5" t="s">
        <v>39</v>
      </c>
      <c r="F1" s="5" t="s">
        <v>40</v>
      </c>
      <c r="G1" s="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1"/>
  <dataValidations>
    <dataValidation type="list" allowBlank="1" sqref="G2:G100">
      <formula1>"Bəli,Xeyr"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18.0"/>
    <col customWidth="1" min="4" max="4" width="20.0"/>
    <col customWidth="1" min="5" max="5" width="28.0"/>
    <col customWidth="1" min="6" max="6" width="40.0"/>
    <col customWidth="1" min="7" max="7" width="30.0"/>
    <col customWidth="1" min="8" max="8" width="12.0"/>
    <col customWidth="1" min="9" max="11" width="8.71"/>
  </cols>
  <sheetData>
    <row r="1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37</v>
      </c>
      <c r="H1" s="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H$1"/>
  <dataValidations>
    <dataValidation type="list" allowBlank="1" sqref="H2:H100">
      <formula1>"Bəli,Xeyr"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30.0"/>
    <col customWidth="1" min="5" max="5" width="18.0"/>
    <col customWidth="1" min="6" max="6" width="30.0"/>
    <col customWidth="1" min="7" max="7" width="12.0"/>
    <col customWidth="1" min="8" max="8" width="10.0"/>
    <col customWidth="1" min="9" max="9" width="12.0"/>
    <col customWidth="1" min="10" max="10" width="22.0"/>
    <col customWidth="1" min="11" max="11" width="16.0"/>
    <col customWidth="1" min="12" max="14" width="18.0"/>
    <col customWidth="1" min="15" max="15" width="30.0"/>
  </cols>
  <sheetData>
    <row r="1">
      <c r="A1" s="5" t="s">
        <v>48</v>
      </c>
      <c r="B1" s="5" t="s">
        <v>49</v>
      </c>
      <c r="C1" s="5" t="s">
        <v>42</v>
      </c>
      <c r="D1" s="5" t="s">
        <v>43</v>
      </c>
      <c r="E1" s="5" t="s">
        <v>29</v>
      </c>
      <c r="F1" s="5" t="s">
        <v>28</v>
      </c>
      <c r="G1" s="5" t="s">
        <v>30</v>
      </c>
      <c r="H1" s="5" t="s">
        <v>31</v>
      </c>
      <c r="I1" s="5" t="s">
        <v>32</v>
      </c>
      <c r="J1" s="5" t="s">
        <v>50</v>
      </c>
      <c r="K1" s="5" t="s">
        <v>34</v>
      </c>
      <c r="L1" s="5" t="s">
        <v>51</v>
      </c>
      <c r="M1" s="5" t="s">
        <v>52</v>
      </c>
      <c r="N1" s="5" t="s">
        <v>53</v>
      </c>
      <c r="O1" s="5" t="s">
        <v>37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 t="str">
        <f t="shared" ref="K2:K501" si="1">IF(OR(G2="",J2=""),"",G2*J2)</f>
        <v/>
      </c>
      <c r="L2" s="4"/>
      <c r="M2" s="4" t="str">
        <f t="shared" ref="M2:M501" si="2">IF(OR(K2="",L2=""),"",K2-L2)</f>
        <v/>
      </c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 t="str">
        <f t="shared" si="1"/>
        <v/>
      </c>
      <c r="L3" s="4"/>
      <c r="M3" s="4" t="str">
        <f t="shared" si="2"/>
        <v/>
      </c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 t="str">
        <f t="shared" si="1"/>
        <v/>
      </c>
      <c r="L4" s="4"/>
      <c r="M4" s="4" t="str">
        <f t="shared" si="2"/>
        <v/>
      </c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 t="str">
        <f t="shared" si="1"/>
        <v/>
      </c>
      <c r="L5" s="4"/>
      <c r="M5" s="4" t="str">
        <f t="shared" si="2"/>
        <v/>
      </c>
      <c r="N5" s="4"/>
      <c r="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 t="str">
        <f t="shared" si="1"/>
        <v/>
      </c>
      <c r="L6" s="4"/>
      <c r="M6" s="4" t="str">
        <f t="shared" si="2"/>
        <v/>
      </c>
      <c r="N6" s="4"/>
      <c r="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 t="str">
        <f t="shared" si="1"/>
        <v/>
      </c>
      <c r="L7" s="4"/>
      <c r="M7" s="4" t="str">
        <f t="shared" si="2"/>
        <v/>
      </c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 t="str">
        <f t="shared" si="1"/>
        <v/>
      </c>
      <c r="L8" s="4"/>
      <c r="M8" s="4" t="str">
        <f t="shared" si="2"/>
        <v/>
      </c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 t="str">
        <f t="shared" si="1"/>
        <v/>
      </c>
      <c r="L9" s="4"/>
      <c r="M9" s="4" t="str">
        <f t="shared" si="2"/>
        <v/>
      </c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tr">
        <f t="shared" si="1"/>
        <v/>
      </c>
      <c r="L10" s="4"/>
      <c r="M10" s="4" t="str">
        <f t="shared" si="2"/>
        <v/>
      </c>
      <c r="N10" s="4"/>
      <c r="O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 t="str">
        <f t="shared" si="1"/>
        <v/>
      </c>
      <c r="L11" s="4"/>
      <c r="M11" s="4" t="str">
        <f t="shared" si="2"/>
        <v/>
      </c>
      <c r="N11" s="4"/>
      <c r="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 t="str">
        <f t="shared" si="1"/>
        <v/>
      </c>
      <c r="L12" s="4"/>
      <c r="M12" s="4" t="str">
        <f t="shared" si="2"/>
        <v/>
      </c>
      <c r="N12" s="4"/>
      <c r="O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 t="str">
        <f t="shared" si="1"/>
        <v/>
      </c>
      <c r="L13" s="4"/>
      <c r="M13" s="4" t="str">
        <f t="shared" si="2"/>
        <v/>
      </c>
      <c r="N13" s="4"/>
      <c r="O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 t="str">
        <f t="shared" si="1"/>
        <v/>
      </c>
      <c r="L14" s="4"/>
      <c r="M14" s="4" t="str">
        <f t="shared" si="2"/>
        <v/>
      </c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 t="str">
        <f t="shared" si="1"/>
        <v/>
      </c>
      <c r="L15" s="4"/>
      <c r="M15" s="4" t="str">
        <f t="shared" si="2"/>
        <v/>
      </c>
      <c r="N15" s="4"/>
      <c r="O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 t="str">
        <f t="shared" si="1"/>
        <v/>
      </c>
      <c r="L16" s="4"/>
      <c r="M16" s="4" t="str">
        <f t="shared" si="2"/>
        <v/>
      </c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 t="str">
        <f t="shared" si="1"/>
        <v/>
      </c>
      <c r="L17" s="4"/>
      <c r="M17" s="4" t="str">
        <f t="shared" si="2"/>
        <v/>
      </c>
      <c r="N17" s="4"/>
      <c r="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 t="str">
        <f t="shared" si="1"/>
        <v/>
      </c>
      <c r="L18" s="4"/>
      <c r="M18" s="4" t="str">
        <f t="shared" si="2"/>
        <v/>
      </c>
      <c r="N18" s="4"/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 t="str">
        <f t="shared" si="1"/>
        <v/>
      </c>
      <c r="L19" s="4"/>
      <c r="M19" s="4" t="str">
        <f t="shared" si="2"/>
        <v/>
      </c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 t="str">
        <f t="shared" si="1"/>
        <v/>
      </c>
      <c r="L20" s="4"/>
      <c r="M20" s="4" t="str">
        <f t="shared" si="2"/>
        <v/>
      </c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 t="str">
        <f t="shared" si="1"/>
        <v/>
      </c>
      <c r="L21" s="4"/>
      <c r="M21" s="4" t="str">
        <f t="shared" si="2"/>
        <v/>
      </c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 t="str">
        <f t="shared" si="1"/>
        <v/>
      </c>
      <c r="L22" s="4"/>
      <c r="M22" s="4" t="str">
        <f t="shared" si="2"/>
        <v/>
      </c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 t="str">
        <f t="shared" si="1"/>
        <v/>
      </c>
      <c r="L23" s="4"/>
      <c r="M23" s="4" t="str">
        <f t="shared" si="2"/>
        <v/>
      </c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 t="str">
        <f t="shared" si="1"/>
        <v/>
      </c>
      <c r="L24" s="4"/>
      <c r="M24" s="4" t="str">
        <f t="shared" si="2"/>
        <v/>
      </c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 t="str">
        <f t="shared" si="1"/>
        <v/>
      </c>
      <c r="L25" s="4"/>
      <c r="M25" s="4" t="str">
        <f t="shared" si="2"/>
        <v/>
      </c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 t="str">
        <f t="shared" si="1"/>
        <v/>
      </c>
      <c r="L26" s="4"/>
      <c r="M26" s="4" t="str">
        <f t="shared" si="2"/>
        <v/>
      </c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 t="str">
        <f t="shared" si="1"/>
        <v/>
      </c>
      <c r="L27" s="4"/>
      <c r="M27" s="4" t="str">
        <f t="shared" si="2"/>
        <v/>
      </c>
      <c r="N27" s="4"/>
      <c r="O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 t="str">
        <f t="shared" si="1"/>
        <v/>
      </c>
      <c r="L28" s="4"/>
      <c r="M28" s="4" t="str">
        <f t="shared" si="2"/>
        <v/>
      </c>
      <c r="N28" s="4"/>
      <c r="O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 t="str">
        <f t="shared" si="1"/>
        <v/>
      </c>
      <c r="L29" s="4"/>
      <c r="M29" s="4" t="str">
        <f t="shared" si="2"/>
        <v/>
      </c>
      <c r="N29" s="4"/>
      <c r="O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 t="str">
        <f t="shared" si="1"/>
        <v/>
      </c>
      <c r="L30" s="4"/>
      <c r="M30" s="4" t="str">
        <f t="shared" si="2"/>
        <v/>
      </c>
      <c r="N30" s="4"/>
      <c r="O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 t="str">
        <f t="shared" si="1"/>
        <v/>
      </c>
      <c r="L31" s="4"/>
      <c r="M31" s="4" t="str">
        <f t="shared" si="2"/>
        <v/>
      </c>
      <c r="N31" s="4"/>
      <c r="O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 t="str">
        <f t="shared" si="1"/>
        <v/>
      </c>
      <c r="L32" s="4"/>
      <c r="M32" s="4" t="str">
        <f t="shared" si="2"/>
        <v/>
      </c>
      <c r="N32" s="4"/>
      <c r="O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 t="str">
        <f t="shared" si="1"/>
        <v/>
      </c>
      <c r="L33" s="4"/>
      <c r="M33" s="4" t="str">
        <f t="shared" si="2"/>
        <v/>
      </c>
      <c r="N33" s="4"/>
      <c r="O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 t="str">
        <f t="shared" si="1"/>
        <v/>
      </c>
      <c r="L34" s="4"/>
      <c r="M34" s="4" t="str">
        <f t="shared" si="2"/>
        <v/>
      </c>
      <c r="N34" s="4"/>
      <c r="O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 t="str">
        <f t="shared" si="1"/>
        <v/>
      </c>
      <c r="L35" s="4"/>
      <c r="M35" s="4" t="str">
        <f t="shared" si="2"/>
        <v/>
      </c>
      <c r="N35" s="4"/>
      <c r="O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 t="str">
        <f t="shared" si="1"/>
        <v/>
      </c>
      <c r="L36" s="4"/>
      <c r="M36" s="4" t="str">
        <f t="shared" si="2"/>
        <v/>
      </c>
      <c r="N36" s="4"/>
      <c r="O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 t="str">
        <f t="shared" si="1"/>
        <v/>
      </c>
      <c r="L37" s="4"/>
      <c r="M37" s="4" t="str">
        <f t="shared" si="2"/>
        <v/>
      </c>
      <c r="N37" s="4"/>
      <c r="O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 t="str">
        <f t="shared" si="1"/>
        <v/>
      </c>
      <c r="L38" s="4"/>
      <c r="M38" s="4" t="str">
        <f t="shared" si="2"/>
        <v/>
      </c>
      <c r="N38" s="4"/>
      <c r="O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 t="str">
        <f t="shared" si="1"/>
        <v/>
      </c>
      <c r="L39" s="4"/>
      <c r="M39" s="4" t="str">
        <f t="shared" si="2"/>
        <v/>
      </c>
      <c r="N39" s="4"/>
      <c r="O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 t="str">
        <f t="shared" si="1"/>
        <v/>
      </c>
      <c r="L40" s="4"/>
      <c r="M40" s="4" t="str">
        <f t="shared" si="2"/>
        <v/>
      </c>
      <c r="N40" s="4"/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 t="str">
        <f t="shared" si="1"/>
        <v/>
      </c>
      <c r="L41" s="4"/>
      <c r="M41" s="4" t="str">
        <f t="shared" si="2"/>
        <v/>
      </c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 t="str">
        <f t="shared" si="1"/>
        <v/>
      </c>
      <c r="L42" s="4"/>
      <c r="M42" s="4" t="str">
        <f t="shared" si="2"/>
        <v/>
      </c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 t="str">
        <f t="shared" si="1"/>
        <v/>
      </c>
      <c r="L43" s="4"/>
      <c r="M43" s="4" t="str">
        <f t="shared" si="2"/>
        <v/>
      </c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 t="str">
        <f t="shared" si="1"/>
        <v/>
      </c>
      <c r="L44" s="4"/>
      <c r="M44" s="4" t="str">
        <f t="shared" si="2"/>
        <v/>
      </c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 t="str">
        <f t="shared" si="1"/>
        <v/>
      </c>
      <c r="L45" s="4"/>
      <c r="M45" s="4" t="str">
        <f t="shared" si="2"/>
        <v/>
      </c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 t="str">
        <f t="shared" si="1"/>
        <v/>
      </c>
      <c r="L46" s="4"/>
      <c r="M46" s="4" t="str">
        <f t="shared" si="2"/>
        <v/>
      </c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 t="str">
        <f t="shared" si="1"/>
        <v/>
      </c>
      <c r="L47" s="4"/>
      <c r="M47" s="4" t="str">
        <f t="shared" si="2"/>
        <v/>
      </c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 t="str">
        <f t="shared" si="1"/>
        <v/>
      </c>
      <c r="L48" s="4"/>
      <c r="M48" s="4" t="str">
        <f t="shared" si="2"/>
        <v/>
      </c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 t="str">
        <f t="shared" si="1"/>
        <v/>
      </c>
      <c r="L49" s="4"/>
      <c r="M49" s="4" t="str">
        <f t="shared" si="2"/>
        <v/>
      </c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 t="str">
        <f t="shared" si="1"/>
        <v/>
      </c>
      <c r="L50" s="4"/>
      <c r="M50" s="4" t="str">
        <f t="shared" si="2"/>
        <v/>
      </c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 t="str">
        <f t="shared" si="1"/>
        <v/>
      </c>
      <c r="L51" s="4"/>
      <c r="M51" s="4" t="str">
        <f t="shared" si="2"/>
        <v/>
      </c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 t="str">
        <f t="shared" si="1"/>
        <v/>
      </c>
      <c r="L52" s="4"/>
      <c r="M52" s="4" t="str">
        <f t="shared" si="2"/>
        <v/>
      </c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 t="str">
        <f t="shared" si="1"/>
        <v/>
      </c>
      <c r="L53" s="4"/>
      <c r="M53" s="4" t="str">
        <f t="shared" si="2"/>
        <v/>
      </c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 t="str">
        <f t="shared" si="1"/>
        <v/>
      </c>
      <c r="L54" s="4"/>
      <c r="M54" s="4" t="str">
        <f t="shared" si="2"/>
        <v/>
      </c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 t="str">
        <f t="shared" si="1"/>
        <v/>
      </c>
      <c r="L55" s="4"/>
      <c r="M55" s="4" t="str">
        <f t="shared" si="2"/>
        <v/>
      </c>
      <c r="N55" s="4"/>
      <c r="O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 t="str">
        <f t="shared" si="1"/>
        <v/>
      </c>
      <c r="L56" s="4"/>
      <c r="M56" s="4" t="str">
        <f t="shared" si="2"/>
        <v/>
      </c>
      <c r="N56" s="4"/>
      <c r="O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 t="str">
        <f t="shared" si="1"/>
        <v/>
      </c>
      <c r="L57" s="4"/>
      <c r="M57" s="4" t="str">
        <f t="shared" si="2"/>
        <v/>
      </c>
      <c r="N57" s="4"/>
      <c r="O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 t="str">
        <f t="shared" si="1"/>
        <v/>
      </c>
      <c r="L58" s="4"/>
      <c r="M58" s="4" t="str">
        <f t="shared" si="2"/>
        <v/>
      </c>
      <c r="N58" s="4"/>
      <c r="O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 t="str">
        <f t="shared" si="1"/>
        <v/>
      </c>
      <c r="L59" s="4"/>
      <c r="M59" s="4" t="str">
        <f t="shared" si="2"/>
        <v/>
      </c>
      <c r="N59" s="4"/>
      <c r="O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 t="str">
        <f t="shared" si="1"/>
        <v/>
      </c>
      <c r="L60" s="4"/>
      <c r="M60" s="4" t="str">
        <f t="shared" si="2"/>
        <v/>
      </c>
      <c r="N60" s="4"/>
      <c r="O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 t="str">
        <f t="shared" si="1"/>
        <v/>
      </c>
      <c r="L61" s="4"/>
      <c r="M61" s="4" t="str">
        <f t="shared" si="2"/>
        <v/>
      </c>
      <c r="N61" s="4"/>
      <c r="O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 t="str">
        <f t="shared" si="1"/>
        <v/>
      </c>
      <c r="L62" s="4"/>
      <c r="M62" s="4" t="str">
        <f t="shared" si="2"/>
        <v/>
      </c>
      <c r="N62" s="4"/>
      <c r="O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 t="str">
        <f t="shared" si="1"/>
        <v/>
      </c>
      <c r="L63" s="4"/>
      <c r="M63" s="4" t="str">
        <f t="shared" si="2"/>
        <v/>
      </c>
      <c r="N63" s="4"/>
      <c r="O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 t="str">
        <f t="shared" si="1"/>
        <v/>
      </c>
      <c r="L64" s="4"/>
      <c r="M64" s="4" t="str">
        <f t="shared" si="2"/>
        <v/>
      </c>
      <c r="N64" s="4"/>
      <c r="O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 t="str">
        <f t="shared" si="1"/>
        <v/>
      </c>
      <c r="L65" s="4"/>
      <c r="M65" s="4" t="str">
        <f t="shared" si="2"/>
        <v/>
      </c>
      <c r="N65" s="4"/>
      <c r="O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 t="str">
        <f t="shared" si="1"/>
        <v/>
      </c>
      <c r="L66" s="4"/>
      <c r="M66" s="4" t="str">
        <f t="shared" si="2"/>
        <v/>
      </c>
      <c r="N66" s="4"/>
      <c r="O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 t="str">
        <f t="shared" si="1"/>
        <v/>
      </c>
      <c r="L67" s="4"/>
      <c r="M67" s="4" t="str">
        <f t="shared" si="2"/>
        <v/>
      </c>
      <c r="N67" s="4"/>
      <c r="O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 t="str">
        <f t="shared" si="1"/>
        <v/>
      </c>
      <c r="L68" s="4"/>
      <c r="M68" s="4" t="str">
        <f t="shared" si="2"/>
        <v/>
      </c>
      <c r="N68" s="4"/>
      <c r="O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 t="str">
        <f t="shared" si="1"/>
        <v/>
      </c>
      <c r="L69" s="4"/>
      <c r="M69" s="4" t="str">
        <f t="shared" si="2"/>
        <v/>
      </c>
      <c r="N69" s="4"/>
      <c r="O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 t="str">
        <f t="shared" si="1"/>
        <v/>
      </c>
      <c r="L70" s="4"/>
      <c r="M70" s="4" t="str">
        <f t="shared" si="2"/>
        <v/>
      </c>
      <c r="N70" s="4"/>
      <c r="O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 t="str">
        <f t="shared" si="1"/>
        <v/>
      </c>
      <c r="L71" s="4"/>
      <c r="M71" s="4" t="str">
        <f t="shared" si="2"/>
        <v/>
      </c>
      <c r="N71" s="4"/>
      <c r="O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 t="str">
        <f t="shared" si="1"/>
        <v/>
      </c>
      <c r="L72" s="4"/>
      <c r="M72" s="4" t="str">
        <f t="shared" si="2"/>
        <v/>
      </c>
      <c r="N72" s="4"/>
      <c r="O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 t="str">
        <f t="shared" si="1"/>
        <v/>
      </c>
      <c r="L73" s="4"/>
      <c r="M73" s="4" t="str">
        <f t="shared" si="2"/>
        <v/>
      </c>
      <c r="N73" s="4"/>
      <c r="O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 t="str">
        <f t="shared" si="1"/>
        <v/>
      </c>
      <c r="L74" s="4"/>
      <c r="M74" s="4" t="str">
        <f t="shared" si="2"/>
        <v/>
      </c>
      <c r="N74" s="4"/>
      <c r="O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 t="str">
        <f t="shared" si="1"/>
        <v/>
      </c>
      <c r="L75" s="4"/>
      <c r="M75" s="4" t="str">
        <f t="shared" si="2"/>
        <v/>
      </c>
      <c r="N75" s="4"/>
      <c r="O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 t="str">
        <f t="shared" si="1"/>
        <v/>
      </c>
      <c r="L76" s="4"/>
      <c r="M76" s="4" t="str">
        <f t="shared" si="2"/>
        <v/>
      </c>
      <c r="N76" s="4"/>
      <c r="O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 t="str">
        <f t="shared" si="1"/>
        <v/>
      </c>
      <c r="L77" s="4"/>
      <c r="M77" s="4" t="str">
        <f t="shared" si="2"/>
        <v/>
      </c>
      <c r="N77" s="4"/>
      <c r="O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 t="str">
        <f t="shared" si="1"/>
        <v/>
      </c>
      <c r="L78" s="4"/>
      <c r="M78" s="4" t="str">
        <f t="shared" si="2"/>
        <v/>
      </c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 t="str">
        <f t="shared" si="1"/>
        <v/>
      </c>
      <c r="L79" s="4"/>
      <c r="M79" s="4" t="str">
        <f t="shared" si="2"/>
        <v/>
      </c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 t="str">
        <f t="shared" si="1"/>
        <v/>
      </c>
      <c r="L80" s="4"/>
      <c r="M80" s="4" t="str">
        <f t="shared" si="2"/>
        <v/>
      </c>
      <c r="N80" s="4"/>
      <c r="O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 t="str">
        <f t="shared" si="1"/>
        <v/>
      </c>
      <c r="L81" s="4"/>
      <c r="M81" s="4" t="str">
        <f t="shared" si="2"/>
        <v/>
      </c>
      <c r="N81" s="4"/>
      <c r="O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 t="str">
        <f t="shared" si="1"/>
        <v/>
      </c>
      <c r="L82" s="4"/>
      <c r="M82" s="4" t="str">
        <f t="shared" si="2"/>
        <v/>
      </c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 t="str">
        <f t="shared" si="1"/>
        <v/>
      </c>
      <c r="L83" s="4"/>
      <c r="M83" s="4" t="str">
        <f t="shared" si="2"/>
        <v/>
      </c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 t="str">
        <f t="shared" si="1"/>
        <v/>
      </c>
      <c r="L84" s="4"/>
      <c r="M84" s="4" t="str">
        <f t="shared" si="2"/>
        <v/>
      </c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 t="str">
        <f t="shared" si="1"/>
        <v/>
      </c>
      <c r="L85" s="4"/>
      <c r="M85" s="4" t="str">
        <f t="shared" si="2"/>
        <v/>
      </c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 t="str">
        <f t="shared" si="1"/>
        <v/>
      </c>
      <c r="L86" s="4"/>
      <c r="M86" s="4" t="str">
        <f t="shared" si="2"/>
        <v/>
      </c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 t="str">
        <f t="shared" si="1"/>
        <v/>
      </c>
      <c r="L87" s="4"/>
      <c r="M87" s="4" t="str">
        <f t="shared" si="2"/>
        <v/>
      </c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 t="str">
        <f t="shared" si="1"/>
        <v/>
      </c>
      <c r="L88" s="4"/>
      <c r="M88" s="4" t="str">
        <f t="shared" si="2"/>
        <v/>
      </c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 t="str">
        <f t="shared" si="1"/>
        <v/>
      </c>
      <c r="L89" s="4"/>
      <c r="M89" s="4" t="str">
        <f t="shared" si="2"/>
        <v/>
      </c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 t="str">
        <f t="shared" si="1"/>
        <v/>
      </c>
      <c r="L90" s="4"/>
      <c r="M90" s="4" t="str">
        <f t="shared" si="2"/>
        <v/>
      </c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 t="str">
        <f t="shared" si="1"/>
        <v/>
      </c>
      <c r="L91" s="4"/>
      <c r="M91" s="4" t="str">
        <f t="shared" si="2"/>
        <v/>
      </c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 t="str">
        <f t="shared" si="1"/>
        <v/>
      </c>
      <c r="L92" s="4"/>
      <c r="M92" s="4" t="str">
        <f t="shared" si="2"/>
        <v/>
      </c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 t="str">
        <f t="shared" si="1"/>
        <v/>
      </c>
      <c r="L93" s="4"/>
      <c r="M93" s="4" t="str">
        <f t="shared" si="2"/>
        <v/>
      </c>
      <c r="N93" s="4"/>
      <c r="O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 t="str">
        <f t="shared" si="1"/>
        <v/>
      </c>
      <c r="L94" s="4"/>
      <c r="M94" s="4" t="str">
        <f t="shared" si="2"/>
        <v/>
      </c>
      <c r="N94" s="4"/>
      <c r="O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 t="str">
        <f t="shared" si="1"/>
        <v/>
      </c>
      <c r="L95" s="4"/>
      <c r="M95" s="4" t="str">
        <f t="shared" si="2"/>
        <v/>
      </c>
      <c r="N95" s="4"/>
      <c r="O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 t="str">
        <f t="shared" si="1"/>
        <v/>
      </c>
      <c r="L96" s="4"/>
      <c r="M96" s="4" t="str">
        <f t="shared" si="2"/>
        <v/>
      </c>
      <c r="N96" s="4"/>
      <c r="O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 t="str">
        <f t="shared" si="1"/>
        <v/>
      </c>
      <c r="L97" s="4"/>
      <c r="M97" s="4" t="str">
        <f t="shared" si="2"/>
        <v/>
      </c>
      <c r="N97" s="4"/>
      <c r="O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 t="str">
        <f t="shared" si="1"/>
        <v/>
      </c>
      <c r="L98" s="4"/>
      <c r="M98" s="4" t="str">
        <f t="shared" si="2"/>
        <v/>
      </c>
      <c r="N98" s="4"/>
      <c r="O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 t="str">
        <f t="shared" si="1"/>
        <v/>
      </c>
      <c r="L99" s="4"/>
      <c r="M99" s="4" t="str">
        <f t="shared" si="2"/>
        <v/>
      </c>
      <c r="N99" s="4"/>
      <c r="O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 t="str">
        <f t="shared" si="1"/>
        <v/>
      </c>
      <c r="L100" s="4"/>
      <c r="M100" s="4" t="str">
        <f t="shared" si="2"/>
        <v/>
      </c>
      <c r="N100" s="4"/>
      <c r="O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 t="str">
        <f t="shared" si="1"/>
        <v/>
      </c>
      <c r="L101" s="4"/>
      <c r="M101" s="4" t="str">
        <f t="shared" si="2"/>
        <v/>
      </c>
      <c r="N101" s="4"/>
      <c r="O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 t="str">
        <f t="shared" si="1"/>
        <v/>
      </c>
      <c r="L102" s="4"/>
      <c r="M102" s="4" t="str">
        <f t="shared" si="2"/>
        <v/>
      </c>
      <c r="N102" s="4"/>
      <c r="O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 t="str">
        <f t="shared" si="1"/>
        <v/>
      </c>
      <c r="L103" s="4"/>
      <c r="M103" s="4" t="str">
        <f t="shared" si="2"/>
        <v/>
      </c>
      <c r="N103" s="4"/>
      <c r="O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 t="str">
        <f t="shared" si="1"/>
        <v/>
      </c>
      <c r="L104" s="4"/>
      <c r="M104" s="4" t="str">
        <f t="shared" si="2"/>
        <v/>
      </c>
      <c r="N104" s="4"/>
      <c r="O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 t="str">
        <f t="shared" si="1"/>
        <v/>
      </c>
      <c r="L105" s="4"/>
      <c r="M105" s="4" t="str">
        <f t="shared" si="2"/>
        <v/>
      </c>
      <c r="N105" s="4"/>
      <c r="O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 t="str">
        <f t="shared" si="1"/>
        <v/>
      </c>
      <c r="L106" s="4"/>
      <c r="M106" s="4" t="str">
        <f t="shared" si="2"/>
        <v/>
      </c>
      <c r="N106" s="4"/>
      <c r="O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 t="str">
        <f t="shared" si="1"/>
        <v/>
      </c>
      <c r="L107" s="4"/>
      <c r="M107" s="4" t="str">
        <f t="shared" si="2"/>
        <v/>
      </c>
      <c r="N107" s="4"/>
      <c r="O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 t="str">
        <f t="shared" si="1"/>
        <v/>
      </c>
      <c r="L108" s="4"/>
      <c r="M108" s="4" t="str">
        <f t="shared" si="2"/>
        <v/>
      </c>
      <c r="N108" s="4"/>
      <c r="O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 t="str">
        <f t="shared" si="1"/>
        <v/>
      </c>
      <c r="L109" s="4"/>
      <c r="M109" s="4" t="str">
        <f t="shared" si="2"/>
        <v/>
      </c>
      <c r="N109" s="4"/>
      <c r="O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 t="str">
        <f t="shared" si="1"/>
        <v/>
      </c>
      <c r="L110" s="4"/>
      <c r="M110" s="4" t="str">
        <f t="shared" si="2"/>
        <v/>
      </c>
      <c r="N110" s="4"/>
      <c r="O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 t="str">
        <f t="shared" si="1"/>
        <v/>
      </c>
      <c r="L111" s="4"/>
      <c r="M111" s="4" t="str">
        <f t="shared" si="2"/>
        <v/>
      </c>
      <c r="N111" s="4"/>
      <c r="O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 t="str">
        <f t="shared" si="1"/>
        <v/>
      </c>
      <c r="L112" s="4"/>
      <c r="M112" s="4" t="str">
        <f t="shared" si="2"/>
        <v/>
      </c>
      <c r="N112" s="4"/>
      <c r="O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 t="str">
        <f t="shared" si="1"/>
        <v/>
      </c>
      <c r="L113" s="4"/>
      <c r="M113" s="4" t="str">
        <f t="shared" si="2"/>
        <v/>
      </c>
      <c r="N113" s="4"/>
      <c r="O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 t="str">
        <f t="shared" si="1"/>
        <v/>
      </c>
      <c r="L114" s="4"/>
      <c r="M114" s="4" t="str">
        <f t="shared" si="2"/>
        <v/>
      </c>
      <c r="N114" s="4"/>
      <c r="O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 t="str">
        <f t="shared" si="1"/>
        <v/>
      </c>
      <c r="L115" s="4"/>
      <c r="M115" s="4" t="str">
        <f t="shared" si="2"/>
        <v/>
      </c>
      <c r="N115" s="4"/>
      <c r="O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 t="str">
        <f t="shared" si="1"/>
        <v/>
      </c>
      <c r="L116" s="4"/>
      <c r="M116" s="4" t="str">
        <f t="shared" si="2"/>
        <v/>
      </c>
      <c r="N116" s="4"/>
      <c r="O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 t="str">
        <f t="shared" si="1"/>
        <v/>
      </c>
      <c r="L117" s="4"/>
      <c r="M117" s="4" t="str">
        <f t="shared" si="2"/>
        <v/>
      </c>
      <c r="N117" s="4"/>
      <c r="O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 t="str">
        <f t="shared" si="1"/>
        <v/>
      </c>
      <c r="L118" s="4"/>
      <c r="M118" s="4" t="str">
        <f t="shared" si="2"/>
        <v/>
      </c>
      <c r="N118" s="4"/>
      <c r="O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 t="str">
        <f t="shared" si="1"/>
        <v/>
      </c>
      <c r="L119" s="4"/>
      <c r="M119" s="4" t="str">
        <f t="shared" si="2"/>
        <v/>
      </c>
      <c r="N119" s="4"/>
      <c r="O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 t="str">
        <f t="shared" si="1"/>
        <v/>
      </c>
      <c r="L120" s="4"/>
      <c r="M120" s="4" t="str">
        <f t="shared" si="2"/>
        <v/>
      </c>
      <c r="N120" s="4"/>
      <c r="O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 t="str">
        <f t="shared" si="1"/>
        <v/>
      </c>
      <c r="L121" s="4"/>
      <c r="M121" s="4" t="str">
        <f t="shared" si="2"/>
        <v/>
      </c>
      <c r="N121" s="4"/>
      <c r="O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 t="str">
        <f t="shared" si="1"/>
        <v/>
      </c>
      <c r="L122" s="4"/>
      <c r="M122" s="4" t="str">
        <f t="shared" si="2"/>
        <v/>
      </c>
      <c r="N122" s="4"/>
      <c r="O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 t="str">
        <f t="shared" si="1"/>
        <v/>
      </c>
      <c r="L123" s="4"/>
      <c r="M123" s="4" t="str">
        <f t="shared" si="2"/>
        <v/>
      </c>
      <c r="N123" s="4"/>
      <c r="O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 t="str">
        <f t="shared" si="1"/>
        <v/>
      </c>
      <c r="L124" s="4"/>
      <c r="M124" s="4" t="str">
        <f t="shared" si="2"/>
        <v/>
      </c>
      <c r="N124" s="4"/>
      <c r="O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 t="str">
        <f t="shared" si="1"/>
        <v/>
      </c>
      <c r="L125" s="4"/>
      <c r="M125" s="4" t="str">
        <f t="shared" si="2"/>
        <v/>
      </c>
      <c r="N125" s="4"/>
      <c r="O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 t="str">
        <f t="shared" si="1"/>
        <v/>
      </c>
      <c r="L126" s="4"/>
      <c r="M126" s="4" t="str">
        <f t="shared" si="2"/>
        <v/>
      </c>
      <c r="N126" s="4"/>
      <c r="O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 t="str">
        <f t="shared" si="1"/>
        <v/>
      </c>
      <c r="L127" s="4"/>
      <c r="M127" s="4" t="str">
        <f t="shared" si="2"/>
        <v/>
      </c>
      <c r="N127" s="4"/>
      <c r="O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 t="str">
        <f t="shared" si="1"/>
        <v/>
      </c>
      <c r="L128" s="4"/>
      <c r="M128" s="4" t="str">
        <f t="shared" si="2"/>
        <v/>
      </c>
      <c r="N128" s="4"/>
      <c r="O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 t="str">
        <f t="shared" si="1"/>
        <v/>
      </c>
      <c r="L129" s="4"/>
      <c r="M129" s="4" t="str">
        <f t="shared" si="2"/>
        <v/>
      </c>
      <c r="N129" s="4"/>
      <c r="O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 t="str">
        <f t="shared" si="1"/>
        <v/>
      </c>
      <c r="L130" s="4"/>
      <c r="M130" s="4" t="str">
        <f t="shared" si="2"/>
        <v/>
      </c>
      <c r="N130" s="4"/>
      <c r="O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 t="str">
        <f t="shared" si="1"/>
        <v/>
      </c>
      <c r="L131" s="4"/>
      <c r="M131" s="4" t="str">
        <f t="shared" si="2"/>
        <v/>
      </c>
      <c r="N131" s="4"/>
      <c r="O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 t="str">
        <f t="shared" si="1"/>
        <v/>
      </c>
      <c r="L132" s="4"/>
      <c r="M132" s="4" t="str">
        <f t="shared" si="2"/>
        <v/>
      </c>
      <c r="N132" s="4"/>
      <c r="O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 t="str">
        <f t="shared" si="1"/>
        <v/>
      </c>
      <c r="L133" s="4"/>
      <c r="M133" s="4" t="str">
        <f t="shared" si="2"/>
        <v/>
      </c>
      <c r="N133" s="4"/>
      <c r="O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 t="str">
        <f t="shared" si="1"/>
        <v/>
      </c>
      <c r="L134" s="4"/>
      <c r="M134" s="4" t="str">
        <f t="shared" si="2"/>
        <v/>
      </c>
      <c r="N134" s="4"/>
      <c r="O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 t="str">
        <f t="shared" si="1"/>
        <v/>
      </c>
      <c r="L135" s="4"/>
      <c r="M135" s="4" t="str">
        <f t="shared" si="2"/>
        <v/>
      </c>
      <c r="N135" s="4"/>
      <c r="O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 t="str">
        <f t="shared" si="1"/>
        <v/>
      </c>
      <c r="L136" s="4"/>
      <c r="M136" s="4" t="str">
        <f t="shared" si="2"/>
        <v/>
      </c>
      <c r="N136" s="4"/>
      <c r="O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 t="str">
        <f t="shared" si="1"/>
        <v/>
      </c>
      <c r="L137" s="4"/>
      <c r="M137" s="4" t="str">
        <f t="shared" si="2"/>
        <v/>
      </c>
      <c r="N137" s="4"/>
      <c r="O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 t="str">
        <f t="shared" si="1"/>
        <v/>
      </c>
      <c r="L138" s="4"/>
      <c r="M138" s="4" t="str">
        <f t="shared" si="2"/>
        <v/>
      </c>
      <c r="N138" s="4"/>
      <c r="O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 t="str">
        <f t="shared" si="1"/>
        <v/>
      </c>
      <c r="L139" s="4"/>
      <c r="M139" s="4" t="str">
        <f t="shared" si="2"/>
        <v/>
      </c>
      <c r="N139" s="4"/>
      <c r="O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 t="str">
        <f t="shared" si="1"/>
        <v/>
      </c>
      <c r="L140" s="4"/>
      <c r="M140" s="4" t="str">
        <f t="shared" si="2"/>
        <v/>
      </c>
      <c r="N140" s="4"/>
      <c r="O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 t="str">
        <f t="shared" si="1"/>
        <v/>
      </c>
      <c r="L141" s="4"/>
      <c r="M141" s="4" t="str">
        <f t="shared" si="2"/>
        <v/>
      </c>
      <c r="N141" s="4"/>
      <c r="O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 t="str">
        <f t="shared" si="1"/>
        <v/>
      </c>
      <c r="L142" s="4"/>
      <c r="M142" s="4" t="str">
        <f t="shared" si="2"/>
        <v/>
      </c>
      <c r="N142" s="4"/>
      <c r="O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 t="str">
        <f t="shared" si="1"/>
        <v/>
      </c>
      <c r="L143" s="4"/>
      <c r="M143" s="4" t="str">
        <f t="shared" si="2"/>
        <v/>
      </c>
      <c r="N143" s="4"/>
      <c r="O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 t="str">
        <f t="shared" si="1"/>
        <v/>
      </c>
      <c r="L144" s="4"/>
      <c r="M144" s="4" t="str">
        <f t="shared" si="2"/>
        <v/>
      </c>
      <c r="N144" s="4"/>
      <c r="O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 t="str">
        <f t="shared" si="1"/>
        <v/>
      </c>
      <c r="L145" s="4"/>
      <c r="M145" s="4" t="str">
        <f t="shared" si="2"/>
        <v/>
      </c>
      <c r="N145" s="4"/>
      <c r="O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 t="str">
        <f t="shared" si="1"/>
        <v/>
      </c>
      <c r="L146" s="4"/>
      <c r="M146" s="4" t="str">
        <f t="shared" si="2"/>
        <v/>
      </c>
      <c r="N146" s="4"/>
      <c r="O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 t="str">
        <f t="shared" si="1"/>
        <v/>
      </c>
      <c r="L147" s="4"/>
      <c r="M147" s="4" t="str">
        <f t="shared" si="2"/>
        <v/>
      </c>
      <c r="N147" s="4"/>
      <c r="O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 t="str">
        <f t="shared" si="1"/>
        <v/>
      </c>
      <c r="L148" s="4"/>
      <c r="M148" s="4" t="str">
        <f t="shared" si="2"/>
        <v/>
      </c>
      <c r="N148" s="4"/>
      <c r="O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 t="str">
        <f t="shared" si="1"/>
        <v/>
      </c>
      <c r="L149" s="4"/>
      <c r="M149" s="4" t="str">
        <f t="shared" si="2"/>
        <v/>
      </c>
      <c r="N149" s="4"/>
      <c r="O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 t="str">
        <f t="shared" si="1"/>
        <v/>
      </c>
      <c r="L150" s="4"/>
      <c r="M150" s="4" t="str">
        <f t="shared" si="2"/>
        <v/>
      </c>
      <c r="N150" s="4"/>
      <c r="O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 t="str">
        <f t="shared" si="1"/>
        <v/>
      </c>
      <c r="L151" s="4"/>
      <c r="M151" s="4" t="str">
        <f t="shared" si="2"/>
        <v/>
      </c>
      <c r="N151" s="4"/>
      <c r="O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 t="str">
        <f t="shared" si="1"/>
        <v/>
      </c>
      <c r="L152" s="4"/>
      <c r="M152" s="4" t="str">
        <f t="shared" si="2"/>
        <v/>
      </c>
      <c r="N152" s="4"/>
      <c r="O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 t="str">
        <f t="shared" si="1"/>
        <v/>
      </c>
      <c r="L153" s="4"/>
      <c r="M153" s="4" t="str">
        <f t="shared" si="2"/>
        <v/>
      </c>
      <c r="N153" s="4"/>
      <c r="O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 t="str">
        <f t="shared" si="1"/>
        <v/>
      </c>
      <c r="L154" s="4"/>
      <c r="M154" s="4" t="str">
        <f t="shared" si="2"/>
        <v/>
      </c>
      <c r="N154" s="4"/>
      <c r="O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 t="str">
        <f t="shared" si="1"/>
        <v/>
      </c>
      <c r="L155" s="4"/>
      <c r="M155" s="4" t="str">
        <f t="shared" si="2"/>
        <v/>
      </c>
      <c r="N155" s="4"/>
      <c r="O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 t="str">
        <f t="shared" si="1"/>
        <v/>
      </c>
      <c r="L156" s="4"/>
      <c r="M156" s="4" t="str">
        <f t="shared" si="2"/>
        <v/>
      </c>
      <c r="N156" s="4"/>
      <c r="O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 t="str">
        <f t="shared" si="1"/>
        <v/>
      </c>
      <c r="L157" s="4"/>
      <c r="M157" s="4" t="str">
        <f t="shared" si="2"/>
        <v/>
      </c>
      <c r="N157" s="4"/>
      <c r="O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 t="str">
        <f t="shared" si="1"/>
        <v/>
      </c>
      <c r="L158" s="4"/>
      <c r="M158" s="4" t="str">
        <f t="shared" si="2"/>
        <v/>
      </c>
      <c r="N158" s="4"/>
      <c r="O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 t="str">
        <f t="shared" si="1"/>
        <v/>
      </c>
      <c r="L159" s="4"/>
      <c r="M159" s="4" t="str">
        <f t="shared" si="2"/>
        <v/>
      </c>
      <c r="N159" s="4"/>
      <c r="O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 t="str">
        <f t="shared" si="1"/>
        <v/>
      </c>
      <c r="L160" s="4"/>
      <c r="M160" s="4" t="str">
        <f t="shared" si="2"/>
        <v/>
      </c>
      <c r="N160" s="4"/>
      <c r="O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 t="str">
        <f t="shared" si="1"/>
        <v/>
      </c>
      <c r="L161" s="4"/>
      <c r="M161" s="4" t="str">
        <f t="shared" si="2"/>
        <v/>
      </c>
      <c r="N161" s="4"/>
      <c r="O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 t="str">
        <f t="shared" si="1"/>
        <v/>
      </c>
      <c r="L162" s="4"/>
      <c r="M162" s="4" t="str">
        <f t="shared" si="2"/>
        <v/>
      </c>
      <c r="N162" s="4"/>
      <c r="O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 t="str">
        <f t="shared" si="1"/>
        <v/>
      </c>
      <c r="L163" s="4"/>
      <c r="M163" s="4" t="str">
        <f t="shared" si="2"/>
        <v/>
      </c>
      <c r="N163" s="4"/>
      <c r="O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 t="str">
        <f t="shared" si="1"/>
        <v/>
      </c>
      <c r="L164" s="4"/>
      <c r="M164" s="4" t="str">
        <f t="shared" si="2"/>
        <v/>
      </c>
      <c r="N164" s="4"/>
      <c r="O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 t="str">
        <f t="shared" si="1"/>
        <v/>
      </c>
      <c r="L165" s="4"/>
      <c r="M165" s="4" t="str">
        <f t="shared" si="2"/>
        <v/>
      </c>
      <c r="N165" s="4"/>
      <c r="O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 t="str">
        <f t="shared" si="1"/>
        <v/>
      </c>
      <c r="L166" s="4"/>
      <c r="M166" s="4" t="str">
        <f t="shared" si="2"/>
        <v/>
      </c>
      <c r="N166" s="4"/>
      <c r="O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 t="str">
        <f t="shared" si="1"/>
        <v/>
      </c>
      <c r="L167" s="4"/>
      <c r="M167" s="4" t="str">
        <f t="shared" si="2"/>
        <v/>
      </c>
      <c r="N167" s="4"/>
      <c r="O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 t="str">
        <f t="shared" si="1"/>
        <v/>
      </c>
      <c r="L168" s="4"/>
      <c r="M168" s="4" t="str">
        <f t="shared" si="2"/>
        <v/>
      </c>
      <c r="N168" s="4"/>
      <c r="O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 t="str">
        <f t="shared" si="1"/>
        <v/>
      </c>
      <c r="L169" s="4"/>
      <c r="M169" s="4" t="str">
        <f t="shared" si="2"/>
        <v/>
      </c>
      <c r="N169" s="4"/>
      <c r="O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 t="str">
        <f t="shared" si="1"/>
        <v/>
      </c>
      <c r="L170" s="4"/>
      <c r="M170" s="4" t="str">
        <f t="shared" si="2"/>
        <v/>
      </c>
      <c r="N170" s="4"/>
      <c r="O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 t="str">
        <f t="shared" si="1"/>
        <v/>
      </c>
      <c r="L171" s="4"/>
      <c r="M171" s="4" t="str">
        <f t="shared" si="2"/>
        <v/>
      </c>
      <c r="N171" s="4"/>
      <c r="O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 t="str">
        <f t="shared" si="1"/>
        <v/>
      </c>
      <c r="L172" s="4"/>
      <c r="M172" s="4" t="str">
        <f t="shared" si="2"/>
        <v/>
      </c>
      <c r="N172" s="4"/>
      <c r="O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 t="str">
        <f t="shared" si="1"/>
        <v/>
      </c>
      <c r="L173" s="4"/>
      <c r="M173" s="4" t="str">
        <f t="shared" si="2"/>
        <v/>
      </c>
      <c r="N173" s="4"/>
      <c r="O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 t="str">
        <f t="shared" si="1"/>
        <v/>
      </c>
      <c r="L174" s="4"/>
      <c r="M174" s="4" t="str">
        <f t="shared" si="2"/>
        <v/>
      </c>
      <c r="N174" s="4"/>
      <c r="O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 t="str">
        <f t="shared" si="1"/>
        <v/>
      </c>
      <c r="L175" s="4"/>
      <c r="M175" s="4" t="str">
        <f t="shared" si="2"/>
        <v/>
      </c>
      <c r="N175" s="4"/>
      <c r="O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 t="str">
        <f t="shared" si="1"/>
        <v/>
      </c>
      <c r="L176" s="4"/>
      <c r="M176" s="4" t="str">
        <f t="shared" si="2"/>
        <v/>
      </c>
      <c r="N176" s="4"/>
      <c r="O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 t="str">
        <f t="shared" si="1"/>
        <v/>
      </c>
      <c r="L177" s="4"/>
      <c r="M177" s="4" t="str">
        <f t="shared" si="2"/>
        <v/>
      </c>
      <c r="N177" s="4"/>
      <c r="O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 t="str">
        <f t="shared" si="1"/>
        <v/>
      </c>
      <c r="L178" s="4"/>
      <c r="M178" s="4" t="str">
        <f t="shared" si="2"/>
        <v/>
      </c>
      <c r="N178" s="4"/>
      <c r="O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 t="str">
        <f t="shared" si="1"/>
        <v/>
      </c>
      <c r="L179" s="4"/>
      <c r="M179" s="4" t="str">
        <f t="shared" si="2"/>
        <v/>
      </c>
      <c r="N179" s="4"/>
      <c r="O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 t="str">
        <f t="shared" si="1"/>
        <v/>
      </c>
      <c r="L180" s="4"/>
      <c r="M180" s="4" t="str">
        <f t="shared" si="2"/>
        <v/>
      </c>
      <c r="N180" s="4"/>
      <c r="O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 t="str">
        <f t="shared" si="1"/>
        <v/>
      </c>
      <c r="L181" s="4"/>
      <c r="M181" s="4" t="str">
        <f t="shared" si="2"/>
        <v/>
      </c>
      <c r="N181" s="4"/>
      <c r="O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 t="str">
        <f t="shared" si="1"/>
        <v/>
      </c>
      <c r="L182" s="4"/>
      <c r="M182" s="4" t="str">
        <f t="shared" si="2"/>
        <v/>
      </c>
      <c r="N182" s="4"/>
      <c r="O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 t="str">
        <f t="shared" si="1"/>
        <v/>
      </c>
      <c r="L183" s="4"/>
      <c r="M183" s="4" t="str">
        <f t="shared" si="2"/>
        <v/>
      </c>
      <c r="N183" s="4"/>
      <c r="O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 t="str">
        <f t="shared" si="1"/>
        <v/>
      </c>
      <c r="L184" s="4"/>
      <c r="M184" s="4" t="str">
        <f t="shared" si="2"/>
        <v/>
      </c>
      <c r="N184" s="4"/>
      <c r="O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 t="str">
        <f t="shared" si="1"/>
        <v/>
      </c>
      <c r="L185" s="4"/>
      <c r="M185" s="4" t="str">
        <f t="shared" si="2"/>
        <v/>
      </c>
      <c r="N185" s="4"/>
      <c r="O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 t="str">
        <f t="shared" si="1"/>
        <v/>
      </c>
      <c r="L186" s="4"/>
      <c r="M186" s="4" t="str">
        <f t="shared" si="2"/>
        <v/>
      </c>
      <c r="N186" s="4"/>
      <c r="O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 t="str">
        <f t="shared" si="1"/>
        <v/>
      </c>
      <c r="L187" s="4"/>
      <c r="M187" s="4" t="str">
        <f t="shared" si="2"/>
        <v/>
      </c>
      <c r="N187" s="4"/>
      <c r="O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 t="str">
        <f t="shared" si="1"/>
        <v/>
      </c>
      <c r="L188" s="4"/>
      <c r="M188" s="4" t="str">
        <f t="shared" si="2"/>
        <v/>
      </c>
      <c r="N188" s="4"/>
      <c r="O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 t="str">
        <f t="shared" si="1"/>
        <v/>
      </c>
      <c r="L189" s="4"/>
      <c r="M189" s="4" t="str">
        <f t="shared" si="2"/>
        <v/>
      </c>
      <c r="N189" s="4"/>
      <c r="O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 t="str">
        <f t="shared" si="1"/>
        <v/>
      </c>
      <c r="L190" s="4"/>
      <c r="M190" s="4" t="str">
        <f t="shared" si="2"/>
        <v/>
      </c>
      <c r="N190" s="4"/>
      <c r="O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 t="str">
        <f t="shared" si="1"/>
        <v/>
      </c>
      <c r="L191" s="4"/>
      <c r="M191" s="4" t="str">
        <f t="shared" si="2"/>
        <v/>
      </c>
      <c r="N191" s="4"/>
      <c r="O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 t="str">
        <f t="shared" si="1"/>
        <v/>
      </c>
      <c r="L192" s="4"/>
      <c r="M192" s="4" t="str">
        <f t="shared" si="2"/>
        <v/>
      </c>
      <c r="N192" s="4"/>
      <c r="O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 t="str">
        <f t="shared" si="1"/>
        <v/>
      </c>
      <c r="L193" s="4"/>
      <c r="M193" s="4" t="str">
        <f t="shared" si="2"/>
        <v/>
      </c>
      <c r="N193" s="4"/>
      <c r="O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 t="str">
        <f t="shared" si="1"/>
        <v/>
      </c>
      <c r="L194" s="4"/>
      <c r="M194" s="4" t="str">
        <f t="shared" si="2"/>
        <v/>
      </c>
      <c r="N194" s="4"/>
      <c r="O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 t="str">
        <f t="shared" si="1"/>
        <v/>
      </c>
      <c r="L195" s="4"/>
      <c r="M195" s="4" t="str">
        <f t="shared" si="2"/>
        <v/>
      </c>
      <c r="N195" s="4"/>
      <c r="O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 t="str">
        <f t="shared" si="1"/>
        <v/>
      </c>
      <c r="L196" s="4"/>
      <c r="M196" s="4" t="str">
        <f t="shared" si="2"/>
        <v/>
      </c>
      <c r="N196" s="4"/>
      <c r="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 t="str">
        <f t="shared" si="1"/>
        <v/>
      </c>
      <c r="L197" s="4"/>
      <c r="M197" s="4" t="str">
        <f t="shared" si="2"/>
        <v/>
      </c>
      <c r="N197" s="4"/>
      <c r="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 t="str">
        <f t="shared" si="1"/>
        <v/>
      </c>
      <c r="L198" s="4"/>
      <c r="M198" s="4" t="str">
        <f t="shared" si="2"/>
        <v/>
      </c>
      <c r="N198" s="4"/>
      <c r="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 t="str">
        <f t="shared" si="1"/>
        <v/>
      </c>
      <c r="L199" s="4"/>
      <c r="M199" s="4" t="str">
        <f t="shared" si="2"/>
        <v/>
      </c>
      <c r="N199" s="4"/>
      <c r="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 t="str">
        <f t="shared" si="1"/>
        <v/>
      </c>
      <c r="L200" s="4"/>
      <c r="M200" s="4" t="str">
        <f t="shared" si="2"/>
        <v/>
      </c>
      <c r="N200" s="4"/>
      <c r="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 t="str">
        <f t="shared" si="1"/>
        <v/>
      </c>
      <c r="L201" s="4"/>
      <c r="M201" s="4" t="str">
        <f t="shared" si="2"/>
        <v/>
      </c>
      <c r="N201" s="4"/>
      <c r="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 t="str">
        <f t="shared" si="1"/>
        <v/>
      </c>
      <c r="L202" s="4"/>
      <c r="M202" s="4" t="str">
        <f t="shared" si="2"/>
        <v/>
      </c>
      <c r="N202" s="4"/>
      <c r="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 t="str">
        <f t="shared" si="1"/>
        <v/>
      </c>
      <c r="L203" s="4"/>
      <c r="M203" s="4" t="str">
        <f t="shared" si="2"/>
        <v/>
      </c>
      <c r="N203" s="4"/>
      <c r="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 t="str">
        <f t="shared" si="1"/>
        <v/>
      </c>
      <c r="L204" s="4"/>
      <c r="M204" s="4" t="str">
        <f t="shared" si="2"/>
        <v/>
      </c>
      <c r="N204" s="4"/>
      <c r="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 t="str">
        <f t="shared" si="1"/>
        <v/>
      </c>
      <c r="L205" s="4"/>
      <c r="M205" s="4" t="str">
        <f t="shared" si="2"/>
        <v/>
      </c>
      <c r="N205" s="4"/>
      <c r="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 t="str">
        <f t="shared" si="1"/>
        <v/>
      </c>
      <c r="L206" s="4"/>
      <c r="M206" s="4" t="str">
        <f t="shared" si="2"/>
        <v/>
      </c>
      <c r="N206" s="4"/>
      <c r="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 t="str">
        <f t="shared" si="1"/>
        <v/>
      </c>
      <c r="L207" s="4"/>
      <c r="M207" s="4" t="str">
        <f t="shared" si="2"/>
        <v/>
      </c>
      <c r="N207" s="4"/>
      <c r="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 t="str">
        <f t="shared" si="1"/>
        <v/>
      </c>
      <c r="L208" s="4"/>
      <c r="M208" s="4" t="str">
        <f t="shared" si="2"/>
        <v/>
      </c>
      <c r="N208" s="4"/>
      <c r="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 t="str">
        <f t="shared" si="1"/>
        <v/>
      </c>
      <c r="L209" s="4"/>
      <c r="M209" s="4" t="str">
        <f t="shared" si="2"/>
        <v/>
      </c>
      <c r="N209" s="4"/>
      <c r="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 t="str">
        <f t="shared" si="1"/>
        <v/>
      </c>
      <c r="L210" s="4"/>
      <c r="M210" s="4" t="str">
        <f t="shared" si="2"/>
        <v/>
      </c>
      <c r="N210" s="4"/>
      <c r="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 t="str">
        <f t="shared" si="1"/>
        <v/>
      </c>
      <c r="L211" s="4"/>
      <c r="M211" s="4" t="str">
        <f t="shared" si="2"/>
        <v/>
      </c>
      <c r="N211" s="4"/>
      <c r="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 t="str">
        <f t="shared" si="1"/>
        <v/>
      </c>
      <c r="L212" s="4"/>
      <c r="M212" s="4" t="str">
        <f t="shared" si="2"/>
        <v/>
      </c>
      <c r="N212" s="4"/>
      <c r="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 t="str">
        <f t="shared" si="1"/>
        <v/>
      </c>
      <c r="L213" s="4"/>
      <c r="M213" s="4" t="str">
        <f t="shared" si="2"/>
        <v/>
      </c>
      <c r="N213" s="4"/>
      <c r="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 t="str">
        <f t="shared" si="1"/>
        <v/>
      </c>
      <c r="L214" s="4"/>
      <c r="M214" s="4" t="str">
        <f t="shared" si="2"/>
        <v/>
      </c>
      <c r="N214" s="4"/>
      <c r="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 t="str">
        <f t="shared" si="1"/>
        <v/>
      </c>
      <c r="L215" s="4"/>
      <c r="M215" s="4" t="str">
        <f t="shared" si="2"/>
        <v/>
      </c>
      <c r="N215" s="4"/>
      <c r="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 t="str">
        <f t="shared" si="1"/>
        <v/>
      </c>
      <c r="L216" s="4"/>
      <c r="M216" s="4" t="str">
        <f t="shared" si="2"/>
        <v/>
      </c>
      <c r="N216" s="4"/>
      <c r="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 t="str">
        <f t="shared" si="1"/>
        <v/>
      </c>
      <c r="L217" s="4"/>
      <c r="M217" s="4" t="str">
        <f t="shared" si="2"/>
        <v/>
      </c>
      <c r="N217" s="4"/>
      <c r="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 t="str">
        <f t="shared" si="1"/>
        <v/>
      </c>
      <c r="L218" s="4"/>
      <c r="M218" s="4" t="str">
        <f t="shared" si="2"/>
        <v/>
      </c>
      <c r="N218" s="4"/>
      <c r="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 t="str">
        <f t="shared" si="1"/>
        <v/>
      </c>
      <c r="L219" s="4"/>
      <c r="M219" s="4" t="str">
        <f t="shared" si="2"/>
        <v/>
      </c>
      <c r="N219" s="4"/>
      <c r="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 t="str">
        <f t="shared" si="1"/>
        <v/>
      </c>
      <c r="L220" s="4"/>
      <c r="M220" s="4" t="str">
        <f t="shared" si="2"/>
        <v/>
      </c>
      <c r="N220" s="4"/>
      <c r="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 t="str">
        <f t="shared" si="1"/>
        <v/>
      </c>
      <c r="L221" s="4"/>
      <c r="M221" s="4" t="str">
        <f t="shared" si="2"/>
        <v/>
      </c>
      <c r="N221" s="4"/>
      <c r="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 t="str">
        <f t="shared" si="1"/>
        <v/>
      </c>
      <c r="L222" s="4"/>
      <c r="M222" s="4" t="str">
        <f t="shared" si="2"/>
        <v/>
      </c>
      <c r="N222" s="4"/>
      <c r="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 t="str">
        <f t="shared" si="1"/>
        <v/>
      </c>
      <c r="L223" s="4"/>
      <c r="M223" s="4" t="str">
        <f t="shared" si="2"/>
        <v/>
      </c>
      <c r="N223" s="4"/>
      <c r="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 t="str">
        <f t="shared" si="1"/>
        <v/>
      </c>
      <c r="L224" s="4"/>
      <c r="M224" s="4" t="str">
        <f t="shared" si="2"/>
        <v/>
      </c>
      <c r="N224" s="4"/>
      <c r="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 t="str">
        <f t="shared" si="1"/>
        <v/>
      </c>
      <c r="L225" s="4"/>
      <c r="M225" s="4" t="str">
        <f t="shared" si="2"/>
        <v/>
      </c>
      <c r="N225" s="4"/>
      <c r="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 t="str">
        <f t="shared" si="1"/>
        <v/>
      </c>
      <c r="L226" s="4"/>
      <c r="M226" s="4" t="str">
        <f t="shared" si="2"/>
        <v/>
      </c>
      <c r="N226" s="4"/>
      <c r="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 t="str">
        <f t="shared" si="1"/>
        <v/>
      </c>
      <c r="L227" s="4"/>
      <c r="M227" s="4" t="str">
        <f t="shared" si="2"/>
        <v/>
      </c>
      <c r="N227" s="4"/>
      <c r="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 t="str">
        <f t="shared" si="1"/>
        <v/>
      </c>
      <c r="L228" s="4"/>
      <c r="M228" s="4" t="str">
        <f t="shared" si="2"/>
        <v/>
      </c>
      <c r="N228" s="4"/>
      <c r="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 t="str">
        <f t="shared" si="1"/>
        <v/>
      </c>
      <c r="L229" s="4"/>
      <c r="M229" s="4" t="str">
        <f t="shared" si="2"/>
        <v/>
      </c>
      <c r="N229" s="4"/>
      <c r="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 t="str">
        <f t="shared" si="1"/>
        <v/>
      </c>
      <c r="L230" s="4"/>
      <c r="M230" s="4" t="str">
        <f t="shared" si="2"/>
        <v/>
      </c>
      <c r="N230" s="4"/>
      <c r="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 t="str">
        <f t="shared" si="1"/>
        <v/>
      </c>
      <c r="L231" s="4"/>
      <c r="M231" s="4" t="str">
        <f t="shared" si="2"/>
        <v/>
      </c>
      <c r="N231" s="4"/>
      <c r="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 t="str">
        <f t="shared" si="1"/>
        <v/>
      </c>
      <c r="L232" s="4"/>
      <c r="M232" s="4" t="str">
        <f t="shared" si="2"/>
        <v/>
      </c>
      <c r="N232" s="4"/>
      <c r="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 t="str">
        <f t="shared" si="1"/>
        <v/>
      </c>
      <c r="L233" s="4"/>
      <c r="M233" s="4" t="str">
        <f t="shared" si="2"/>
        <v/>
      </c>
      <c r="N233" s="4"/>
      <c r="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 t="str">
        <f t="shared" si="1"/>
        <v/>
      </c>
      <c r="L234" s="4"/>
      <c r="M234" s="4" t="str">
        <f t="shared" si="2"/>
        <v/>
      </c>
      <c r="N234" s="4"/>
      <c r="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 t="str">
        <f t="shared" si="1"/>
        <v/>
      </c>
      <c r="L235" s="4"/>
      <c r="M235" s="4" t="str">
        <f t="shared" si="2"/>
        <v/>
      </c>
      <c r="N235" s="4"/>
      <c r="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 t="str">
        <f t="shared" si="1"/>
        <v/>
      </c>
      <c r="L236" s="4"/>
      <c r="M236" s="4" t="str">
        <f t="shared" si="2"/>
        <v/>
      </c>
      <c r="N236" s="4"/>
      <c r="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 t="str">
        <f t="shared" si="1"/>
        <v/>
      </c>
      <c r="L237" s="4"/>
      <c r="M237" s="4" t="str">
        <f t="shared" si="2"/>
        <v/>
      </c>
      <c r="N237" s="4"/>
      <c r="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 t="str">
        <f t="shared" si="1"/>
        <v/>
      </c>
      <c r="L238" s="4"/>
      <c r="M238" s="4" t="str">
        <f t="shared" si="2"/>
        <v/>
      </c>
      <c r="N238" s="4"/>
      <c r="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 t="str">
        <f t="shared" si="1"/>
        <v/>
      </c>
      <c r="L239" s="4"/>
      <c r="M239" s="4" t="str">
        <f t="shared" si="2"/>
        <v/>
      </c>
      <c r="N239" s="4"/>
      <c r="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 t="str">
        <f t="shared" si="1"/>
        <v/>
      </c>
      <c r="L240" s="4"/>
      <c r="M240" s="4" t="str">
        <f t="shared" si="2"/>
        <v/>
      </c>
      <c r="N240" s="4"/>
      <c r="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 t="str">
        <f t="shared" si="1"/>
        <v/>
      </c>
      <c r="L241" s="4"/>
      <c r="M241" s="4" t="str">
        <f t="shared" si="2"/>
        <v/>
      </c>
      <c r="N241" s="4"/>
      <c r="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 t="str">
        <f t="shared" si="1"/>
        <v/>
      </c>
      <c r="L242" s="4"/>
      <c r="M242" s="4" t="str">
        <f t="shared" si="2"/>
        <v/>
      </c>
      <c r="N242" s="4"/>
      <c r="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 t="str">
        <f t="shared" si="1"/>
        <v/>
      </c>
      <c r="L243" s="4"/>
      <c r="M243" s="4" t="str">
        <f t="shared" si="2"/>
        <v/>
      </c>
      <c r="N243" s="4"/>
      <c r="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 t="str">
        <f t="shared" si="1"/>
        <v/>
      </c>
      <c r="L244" s="4"/>
      <c r="M244" s="4" t="str">
        <f t="shared" si="2"/>
        <v/>
      </c>
      <c r="N244" s="4"/>
      <c r="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 t="str">
        <f t="shared" si="1"/>
        <v/>
      </c>
      <c r="L245" s="4"/>
      <c r="M245" s="4" t="str">
        <f t="shared" si="2"/>
        <v/>
      </c>
      <c r="N245" s="4"/>
      <c r="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 t="str">
        <f t="shared" si="1"/>
        <v/>
      </c>
      <c r="L246" s="4"/>
      <c r="M246" s="4" t="str">
        <f t="shared" si="2"/>
        <v/>
      </c>
      <c r="N246" s="4"/>
      <c r="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 t="str">
        <f t="shared" si="1"/>
        <v/>
      </c>
      <c r="L247" s="4"/>
      <c r="M247" s="4" t="str">
        <f t="shared" si="2"/>
        <v/>
      </c>
      <c r="N247" s="4"/>
      <c r="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 t="str">
        <f t="shared" si="1"/>
        <v/>
      </c>
      <c r="L248" s="4"/>
      <c r="M248" s="4" t="str">
        <f t="shared" si="2"/>
        <v/>
      </c>
      <c r="N248" s="4"/>
      <c r="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 t="str">
        <f t="shared" si="1"/>
        <v/>
      </c>
      <c r="L249" s="4"/>
      <c r="M249" s="4" t="str">
        <f t="shared" si="2"/>
        <v/>
      </c>
      <c r="N249" s="4"/>
      <c r="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 t="str">
        <f t="shared" si="1"/>
        <v/>
      </c>
      <c r="L250" s="4"/>
      <c r="M250" s="4" t="str">
        <f t="shared" si="2"/>
        <v/>
      </c>
      <c r="N250" s="4"/>
      <c r="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 t="str">
        <f t="shared" si="1"/>
        <v/>
      </c>
      <c r="L251" s="4"/>
      <c r="M251" s="4" t="str">
        <f t="shared" si="2"/>
        <v/>
      </c>
      <c r="N251" s="4"/>
      <c r="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 t="str">
        <f t="shared" si="1"/>
        <v/>
      </c>
      <c r="L252" s="4"/>
      <c r="M252" s="4" t="str">
        <f t="shared" si="2"/>
        <v/>
      </c>
      <c r="N252" s="4"/>
      <c r="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 t="str">
        <f t="shared" si="1"/>
        <v/>
      </c>
      <c r="L253" s="4"/>
      <c r="M253" s="4" t="str">
        <f t="shared" si="2"/>
        <v/>
      </c>
      <c r="N253" s="4"/>
      <c r="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 t="str">
        <f t="shared" si="1"/>
        <v/>
      </c>
      <c r="L254" s="4"/>
      <c r="M254" s="4" t="str">
        <f t="shared" si="2"/>
        <v/>
      </c>
      <c r="N254" s="4"/>
      <c r="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 t="str">
        <f t="shared" si="1"/>
        <v/>
      </c>
      <c r="L255" s="4"/>
      <c r="M255" s="4" t="str">
        <f t="shared" si="2"/>
        <v/>
      </c>
      <c r="N255" s="4"/>
      <c r="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 t="str">
        <f t="shared" si="1"/>
        <v/>
      </c>
      <c r="L256" s="4"/>
      <c r="M256" s="4" t="str">
        <f t="shared" si="2"/>
        <v/>
      </c>
      <c r="N256" s="4"/>
      <c r="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 t="str">
        <f t="shared" si="1"/>
        <v/>
      </c>
      <c r="L257" s="4"/>
      <c r="M257" s="4" t="str">
        <f t="shared" si="2"/>
        <v/>
      </c>
      <c r="N257" s="4"/>
      <c r="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 t="str">
        <f t="shared" si="1"/>
        <v/>
      </c>
      <c r="L258" s="4"/>
      <c r="M258" s="4" t="str">
        <f t="shared" si="2"/>
        <v/>
      </c>
      <c r="N258" s="4"/>
      <c r="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 t="str">
        <f t="shared" si="1"/>
        <v/>
      </c>
      <c r="L259" s="4"/>
      <c r="M259" s="4" t="str">
        <f t="shared" si="2"/>
        <v/>
      </c>
      <c r="N259" s="4"/>
      <c r="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 t="str">
        <f t="shared" si="1"/>
        <v/>
      </c>
      <c r="L260" s="4"/>
      <c r="M260" s="4" t="str">
        <f t="shared" si="2"/>
        <v/>
      </c>
      <c r="N260" s="4"/>
      <c r="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 t="str">
        <f t="shared" si="1"/>
        <v/>
      </c>
      <c r="L261" s="4"/>
      <c r="M261" s="4" t="str">
        <f t="shared" si="2"/>
        <v/>
      </c>
      <c r="N261" s="4"/>
      <c r="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 t="str">
        <f t="shared" si="1"/>
        <v/>
      </c>
      <c r="L262" s="4"/>
      <c r="M262" s="4" t="str">
        <f t="shared" si="2"/>
        <v/>
      </c>
      <c r="N262" s="4"/>
      <c r="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 t="str">
        <f t="shared" si="1"/>
        <v/>
      </c>
      <c r="L263" s="4"/>
      <c r="M263" s="4" t="str">
        <f t="shared" si="2"/>
        <v/>
      </c>
      <c r="N263" s="4"/>
      <c r="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 t="str">
        <f t="shared" si="1"/>
        <v/>
      </c>
      <c r="L264" s="4"/>
      <c r="M264" s="4" t="str">
        <f t="shared" si="2"/>
        <v/>
      </c>
      <c r="N264" s="4"/>
      <c r="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 t="str">
        <f t="shared" si="1"/>
        <v/>
      </c>
      <c r="L265" s="4"/>
      <c r="M265" s="4" t="str">
        <f t="shared" si="2"/>
        <v/>
      </c>
      <c r="N265" s="4"/>
      <c r="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 t="str">
        <f t="shared" si="1"/>
        <v/>
      </c>
      <c r="L266" s="4"/>
      <c r="M266" s="4" t="str">
        <f t="shared" si="2"/>
        <v/>
      </c>
      <c r="N266" s="4"/>
      <c r="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 t="str">
        <f t="shared" si="1"/>
        <v/>
      </c>
      <c r="L267" s="4"/>
      <c r="M267" s="4" t="str">
        <f t="shared" si="2"/>
        <v/>
      </c>
      <c r="N267" s="4"/>
      <c r="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 t="str">
        <f t="shared" si="1"/>
        <v/>
      </c>
      <c r="L268" s="4"/>
      <c r="M268" s="4" t="str">
        <f t="shared" si="2"/>
        <v/>
      </c>
      <c r="N268" s="4"/>
      <c r="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 t="str">
        <f t="shared" si="1"/>
        <v/>
      </c>
      <c r="L269" s="4"/>
      <c r="M269" s="4" t="str">
        <f t="shared" si="2"/>
        <v/>
      </c>
      <c r="N269" s="4"/>
      <c r="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 t="str">
        <f t="shared" si="1"/>
        <v/>
      </c>
      <c r="L270" s="4"/>
      <c r="M270" s="4" t="str">
        <f t="shared" si="2"/>
        <v/>
      </c>
      <c r="N270" s="4"/>
      <c r="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 t="str">
        <f t="shared" si="1"/>
        <v/>
      </c>
      <c r="L271" s="4"/>
      <c r="M271" s="4" t="str">
        <f t="shared" si="2"/>
        <v/>
      </c>
      <c r="N271" s="4"/>
      <c r="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 t="str">
        <f t="shared" si="1"/>
        <v/>
      </c>
      <c r="L272" s="4"/>
      <c r="M272" s="4" t="str">
        <f t="shared" si="2"/>
        <v/>
      </c>
      <c r="N272" s="4"/>
      <c r="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 t="str">
        <f t="shared" si="1"/>
        <v/>
      </c>
      <c r="L273" s="4"/>
      <c r="M273" s="4" t="str">
        <f t="shared" si="2"/>
        <v/>
      </c>
      <c r="N273" s="4"/>
      <c r="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 t="str">
        <f t="shared" si="1"/>
        <v/>
      </c>
      <c r="L274" s="4"/>
      <c r="M274" s="4" t="str">
        <f t="shared" si="2"/>
        <v/>
      </c>
      <c r="N274" s="4"/>
      <c r="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 t="str">
        <f t="shared" si="1"/>
        <v/>
      </c>
      <c r="L275" s="4"/>
      <c r="M275" s="4" t="str">
        <f t="shared" si="2"/>
        <v/>
      </c>
      <c r="N275" s="4"/>
      <c r="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 t="str">
        <f t="shared" si="1"/>
        <v/>
      </c>
      <c r="L276" s="4"/>
      <c r="M276" s="4" t="str">
        <f t="shared" si="2"/>
        <v/>
      </c>
      <c r="N276" s="4"/>
      <c r="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 t="str">
        <f t="shared" si="1"/>
        <v/>
      </c>
      <c r="L277" s="4"/>
      <c r="M277" s="4" t="str">
        <f t="shared" si="2"/>
        <v/>
      </c>
      <c r="N277" s="4"/>
      <c r="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 t="str">
        <f t="shared" si="1"/>
        <v/>
      </c>
      <c r="L278" s="4"/>
      <c r="M278" s="4" t="str">
        <f t="shared" si="2"/>
        <v/>
      </c>
      <c r="N278" s="4"/>
      <c r="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 t="str">
        <f t="shared" si="1"/>
        <v/>
      </c>
      <c r="L279" s="4"/>
      <c r="M279" s="4" t="str">
        <f t="shared" si="2"/>
        <v/>
      </c>
      <c r="N279" s="4"/>
      <c r="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 t="str">
        <f t="shared" si="1"/>
        <v/>
      </c>
      <c r="L280" s="4"/>
      <c r="M280" s="4" t="str">
        <f t="shared" si="2"/>
        <v/>
      </c>
      <c r="N280" s="4"/>
      <c r="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 t="str">
        <f t="shared" si="1"/>
        <v/>
      </c>
      <c r="L281" s="4"/>
      <c r="M281" s="4" t="str">
        <f t="shared" si="2"/>
        <v/>
      </c>
      <c r="N281" s="4"/>
      <c r="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 t="str">
        <f t="shared" si="1"/>
        <v/>
      </c>
      <c r="L282" s="4"/>
      <c r="M282" s="4" t="str">
        <f t="shared" si="2"/>
        <v/>
      </c>
      <c r="N282" s="4"/>
      <c r="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 t="str">
        <f t="shared" si="1"/>
        <v/>
      </c>
      <c r="L283" s="4"/>
      <c r="M283" s="4" t="str">
        <f t="shared" si="2"/>
        <v/>
      </c>
      <c r="N283" s="4"/>
      <c r="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 t="str">
        <f t="shared" si="1"/>
        <v/>
      </c>
      <c r="L284" s="4"/>
      <c r="M284" s="4" t="str">
        <f t="shared" si="2"/>
        <v/>
      </c>
      <c r="N284" s="4"/>
      <c r="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 t="str">
        <f t="shared" si="1"/>
        <v/>
      </c>
      <c r="L285" s="4"/>
      <c r="M285" s="4" t="str">
        <f t="shared" si="2"/>
        <v/>
      </c>
      <c r="N285" s="4"/>
      <c r="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 t="str">
        <f t="shared" si="1"/>
        <v/>
      </c>
      <c r="L286" s="4"/>
      <c r="M286" s="4" t="str">
        <f t="shared" si="2"/>
        <v/>
      </c>
      <c r="N286" s="4"/>
      <c r="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 t="str">
        <f t="shared" si="1"/>
        <v/>
      </c>
      <c r="L287" s="4"/>
      <c r="M287" s="4" t="str">
        <f t="shared" si="2"/>
        <v/>
      </c>
      <c r="N287" s="4"/>
      <c r="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 t="str">
        <f t="shared" si="1"/>
        <v/>
      </c>
      <c r="L288" s="4"/>
      <c r="M288" s="4" t="str">
        <f t="shared" si="2"/>
        <v/>
      </c>
      <c r="N288" s="4"/>
      <c r="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 t="str">
        <f t="shared" si="1"/>
        <v/>
      </c>
      <c r="L289" s="4"/>
      <c r="M289" s="4" t="str">
        <f t="shared" si="2"/>
        <v/>
      </c>
      <c r="N289" s="4"/>
      <c r="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 t="str">
        <f t="shared" si="1"/>
        <v/>
      </c>
      <c r="L290" s="4"/>
      <c r="M290" s="4" t="str">
        <f t="shared" si="2"/>
        <v/>
      </c>
      <c r="N290" s="4"/>
      <c r="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 t="str">
        <f t="shared" si="1"/>
        <v/>
      </c>
      <c r="L291" s="4"/>
      <c r="M291" s="4" t="str">
        <f t="shared" si="2"/>
        <v/>
      </c>
      <c r="N291" s="4"/>
      <c r="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 t="str">
        <f t="shared" si="1"/>
        <v/>
      </c>
      <c r="L292" s="4"/>
      <c r="M292" s="4" t="str">
        <f t="shared" si="2"/>
        <v/>
      </c>
      <c r="N292" s="4"/>
      <c r="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 t="str">
        <f t="shared" si="1"/>
        <v/>
      </c>
      <c r="L293" s="4"/>
      <c r="M293" s="4" t="str">
        <f t="shared" si="2"/>
        <v/>
      </c>
      <c r="N293" s="4"/>
      <c r="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 t="str">
        <f t="shared" si="1"/>
        <v/>
      </c>
      <c r="L294" s="4"/>
      <c r="M294" s="4" t="str">
        <f t="shared" si="2"/>
        <v/>
      </c>
      <c r="N294" s="4"/>
      <c r="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 t="str">
        <f t="shared" si="1"/>
        <v/>
      </c>
      <c r="L295" s="4"/>
      <c r="M295" s="4" t="str">
        <f t="shared" si="2"/>
        <v/>
      </c>
      <c r="N295" s="4"/>
      <c r="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 t="str">
        <f t="shared" si="1"/>
        <v/>
      </c>
      <c r="L296" s="4"/>
      <c r="M296" s="4" t="str">
        <f t="shared" si="2"/>
        <v/>
      </c>
      <c r="N296" s="4"/>
      <c r="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 t="str">
        <f t="shared" si="1"/>
        <v/>
      </c>
      <c r="L297" s="4"/>
      <c r="M297" s="4" t="str">
        <f t="shared" si="2"/>
        <v/>
      </c>
      <c r="N297" s="4"/>
      <c r="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 t="str">
        <f t="shared" si="1"/>
        <v/>
      </c>
      <c r="L298" s="4"/>
      <c r="M298" s="4" t="str">
        <f t="shared" si="2"/>
        <v/>
      </c>
      <c r="N298" s="4"/>
      <c r="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 t="str">
        <f t="shared" si="1"/>
        <v/>
      </c>
      <c r="L299" s="4"/>
      <c r="M299" s="4" t="str">
        <f t="shared" si="2"/>
        <v/>
      </c>
      <c r="N299" s="4"/>
      <c r="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 t="str">
        <f t="shared" si="1"/>
        <v/>
      </c>
      <c r="L300" s="4"/>
      <c r="M300" s="4" t="str">
        <f t="shared" si="2"/>
        <v/>
      </c>
      <c r="N300" s="4"/>
      <c r="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 t="str">
        <f t="shared" si="1"/>
        <v/>
      </c>
      <c r="L301" s="4"/>
      <c r="M301" s="4" t="str">
        <f t="shared" si="2"/>
        <v/>
      </c>
      <c r="N301" s="4"/>
      <c r="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 t="str">
        <f t="shared" si="1"/>
        <v/>
      </c>
      <c r="L302" s="4"/>
      <c r="M302" s="4" t="str">
        <f t="shared" si="2"/>
        <v/>
      </c>
      <c r="N302" s="4"/>
      <c r="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 t="str">
        <f t="shared" si="1"/>
        <v/>
      </c>
      <c r="L303" s="4"/>
      <c r="M303" s="4" t="str">
        <f t="shared" si="2"/>
        <v/>
      </c>
      <c r="N303" s="4"/>
      <c r="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 t="str">
        <f t="shared" si="1"/>
        <v/>
      </c>
      <c r="L304" s="4"/>
      <c r="M304" s="4" t="str">
        <f t="shared" si="2"/>
        <v/>
      </c>
      <c r="N304" s="4"/>
      <c r="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 t="str">
        <f t="shared" si="1"/>
        <v/>
      </c>
      <c r="L305" s="4"/>
      <c r="M305" s="4" t="str">
        <f t="shared" si="2"/>
        <v/>
      </c>
      <c r="N305" s="4"/>
      <c r="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 t="str">
        <f t="shared" si="1"/>
        <v/>
      </c>
      <c r="L306" s="4"/>
      <c r="M306" s="4" t="str">
        <f t="shared" si="2"/>
        <v/>
      </c>
      <c r="N306" s="4"/>
      <c r="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 t="str">
        <f t="shared" si="1"/>
        <v/>
      </c>
      <c r="L307" s="4"/>
      <c r="M307" s="4" t="str">
        <f t="shared" si="2"/>
        <v/>
      </c>
      <c r="N307" s="4"/>
      <c r="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 t="str">
        <f t="shared" si="1"/>
        <v/>
      </c>
      <c r="L308" s="4"/>
      <c r="M308" s="4" t="str">
        <f t="shared" si="2"/>
        <v/>
      </c>
      <c r="N308" s="4"/>
      <c r="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 t="str">
        <f t="shared" si="1"/>
        <v/>
      </c>
      <c r="L309" s="4"/>
      <c r="M309" s="4" t="str">
        <f t="shared" si="2"/>
        <v/>
      </c>
      <c r="N309" s="4"/>
      <c r="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 t="str">
        <f t="shared" si="1"/>
        <v/>
      </c>
      <c r="L310" s="4"/>
      <c r="M310" s="4" t="str">
        <f t="shared" si="2"/>
        <v/>
      </c>
      <c r="N310" s="4"/>
      <c r="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 t="str">
        <f t="shared" si="1"/>
        <v/>
      </c>
      <c r="L311" s="4"/>
      <c r="M311" s="4" t="str">
        <f t="shared" si="2"/>
        <v/>
      </c>
      <c r="N311" s="4"/>
      <c r="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 t="str">
        <f t="shared" si="1"/>
        <v/>
      </c>
      <c r="L312" s="4"/>
      <c r="M312" s="4" t="str">
        <f t="shared" si="2"/>
        <v/>
      </c>
      <c r="N312" s="4"/>
      <c r="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 t="str">
        <f t="shared" si="1"/>
        <v/>
      </c>
      <c r="L313" s="4"/>
      <c r="M313" s="4" t="str">
        <f t="shared" si="2"/>
        <v/>
      </c>
      <c r="N313" s="4"/>
      <c r="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 t="str">
        <f t="shared" si="1"/>
        <v/>
      </c>
      <c r="L314" s="4"/>
      <c r="M314" s="4" t="str">
        <f t="shared" si="2"/>
        <v/>
      </c>
      <c r="N314" s="4"/>
      <c r="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 t="str">
        <f t="shared" si="1"/>
        <v/>
      </c>
      <c r="L315" s="4"/>
      <c r="M315" s="4" t="str">
        <f t="shared" si="2"/>
        <v/>
      </c>
      <c r="N315" s="4"/>
      <c r="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 t="str">
        <f t="shared" si="1"/>
        <v/>
      </c>
      <c r="L316" s="4"/>
      <c r="M316" s="4" t="str">
        <f t="shared" si="2"/>
        <v/>
      </c>
      <c r="N316" s="4"/>
      <c r="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 t="str">
        <f t="shared" si="1"/>
        <v/>
      </c>
      <c r="L317" s="4"/>
      <c r="M317" s="4" t="str">
        <f t="shared" si="2"/>
        <v/>
      </c>
      <c r="N317" s="4"/>
      <c r="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 t="str">
        <f t="shared" si="1"/>
        <v/>
      </c>
      <c r="L318" s="4"/>
      <c r="M318" s="4" t="str">
        <f t="shared" si="2"/>
        <v/>
      </c>
      <c r="N318" s="4"/>
      <c r="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 t="str">
        <f t="shared" si="1"/>
        <v/>
      </c>
      <c r="L319" s="4"/>
      <c r="M319" s="4" t="str">
        <f t="shared" si="2"/>
        <v/>
      </c>
      <c r="N319" s="4"/>
      <c r="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 t="str">
        <f t="shared" si="1"/>
        <v/>
      </c>
      <c r="L320" s="4"/>
      <c r="M320" s="4" t="str">
        <f t="shared" si="2"/>
        <v/>
      </c>
      <c r="N320" s="4"/>
      <c r="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 t="str">
        <f t="shared" si="1"/>
        <v/>
      </c>
      <c r="L321" s="4"/>
      <c r="M321" s="4" t="str">
        <f t="shared" si="2"/>
        <v/>
      </c>
      <c r="N321" s="4"/>
      <c r="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 t="str">
        <f t="shared" si="1"/>
        <v/>
      </c>
      <c r="L322" s="4"/>
      <c r="M322" s="4" t="str">
        <f t="shared" si="2"/>
        <v/>
      </c>
      <c r="N322" s="4"/>
      <c r="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 t="str">
        <f t="shared" si="1"/>
        <v/>
      </c>
      <c r="L323" s="4"/>
      <c r="M323" s="4" t="str">
        <f t="shared" si="2"/>
        <v/>
      </c>
      <c r="N323" s="4"/>
      <c r="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 t="str">
        <f t="shared" si="1"/>
        <v/>
      </c>
      <c r="L324" s="4"/>
      <c r="M324" s="4" t="str">
        <f t="shared" si="2"/>
        <v/>
      </c>
      <c r="N324" s="4"/>
      <c r="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 t="str">
        <f t="shared" si="1"/>
        <v/>
      </c>
      <c r="L325" s="4"/>
      <c r="M325" s="4" t="str">
        <f t="shared" si="2"/>
        <v/>
      </c>
      <c r="N325" s="4"/>
      <c r="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 t="str">
        <f t="shared" si="1"/>
        <v/>
      </c>
      <c r="L326" s="4"/>
      <c r="M326" s="4" t="str">
        <f t="shared" si="2"/>
        <v/>
      </c>
      <c r="N326" s="4"/>
      <c r="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 t="str">
        <f t="shared" si="1"/>
        <v/>
      </c>
      <c r="L327" s="4"/>
      <c r="M327" s="4" t="str">
        <f t="shared" si="2"/>
        <v/>
      </c>
      <c r="N327" s="4"/>
      <c r="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 t="str">
        <f t="shared" si="1"/>
        <v/>
      </c>
      <c r="L328" s="4"/>
      <c r="M328" s="4" t="str">
        <f t="shared" si="2"/>
        <v/>
      </c>
      <c r="N328" s="4"/>
      <c r="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 t="str">
        <f t="shared" si="1"/>
        <v/>
      </c>
      <c r="L329" s="4"/>
      <c r="M329" s="4" t="str">
        <f t="shared" si="2"/>
        <v/>
      </c>
      <c r="N329" s="4"/>
      <c r="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 t="str">
        <f t="shared" si="1"/>
        <v/>
      </c>
      <c r="L330" s="4"/>
      <c r="M330" s="4" t="str">
        <f t="shared" si="2"/>
        <v/>
      </c>
      <c r="N330" s="4"/>
      <c r="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 t="str">
        <f t="shared" si="1"/>
        <v/>
      </c>
      <c r="L331" s="4"/>
      <c r="M331" s="4" t="str">
        <f t="shared" si="2"/>
        <v/>
      </c>
      <c r="N331" s="4"/>
      <c r="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 t="str">
        <f t="shared" si="1"/>
        <v/>
      </c>
      <c r="L332" s="4"/>
      <c r="M332" s="4" t="str">
        <f t="shared" si="2"/>
        <v/>
      </c>
      <c r="N332" s="4"/>
      <c r="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 t="str">
        <f t="shared" si="1"/>
        <v/>
      </c>
      <c r="L333" s="4"/>
      <c r="M333" s="4" t="str">
        <f t="shared" si="2"/>
        <v/>
      </c>
      <c r="N333" s="4"/>
      <c r="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 t="str">
        <f t="shared" si="1"/>
        <v/>
      </c>
      <c r="L334" s="4"/>
      <c r="M334" s="4" t="str">
        <f t="shared" si="2"/>
        <v/>
      </c>
      <c r="N334" s="4"/>
      <c r="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 t="str">
        <f t="shared" si="1"/>
        <v/>
      </c>
      <c r="L335" s="4"/>
      <c r="M335" s="4" t="str">
        <f t="shared" si="2"/>
        <v/>
      </c>
      <c r="N335" s="4"/>
      <c r="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 t="str">
        <f t="shared" si="1"/>
        <v/>
      </c>
      <c r="L336" s="4"/>
      <c r="M336" s="4" t="str">
        <f t="shared" si="2"/>
        <v/>
      </c>
      <c r="N336" s="4"/>
      <c r="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 t="str">
        <f t="shared" si="1"/>
        <v/>
      </c>
      <c r="L337" s="4"/>
      <c r="M337" s="4" t="str">
        <f t="shared" si="2"/>
        <v/>
      </c>
      <c r="N337" s="4"/>
      <c r="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 t="str">
        <f t="shared" si="1"/>
        <v/>
      </c>
      <c r="L338" s="4"/>
      <c r="M338" s="4" t="str">
        <f t="shared" si="2"/>
        <v/>
      </c>
      <c r="N338" s="4"/>
      <c r="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 t="str">
        <f t="shared" si="1"/>
        <v/>
      </c>
      <c r="L339" s="4"/>
      <c r="M339" s="4" t="str">
        <f t="shared" si="2"/>
        <v/>
      </c>
      <c r="N339" s="4"/>
      <c r="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 t="str">
        <f t="shared" si="1"/>
        <v/>
      </c>
      <c r="L340" s="4"/>
      <c r="M340" s="4" t="str">
        <f t="shared" si="2"/>
        <v/>
      </c>
      <c r="N340" s="4"/>
      <c r="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 t="str">
        <f t="shared" si="1"/>
        <v/>
      </c>
      <c r="L341" s="4"/>
      <c r="M341" s="4" t="str">
        <f t="shared" si="2"/>
        <v/>
      </c>
      <c r="N341" s="4"/>
      <c r="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 t="str">
        <f t="shared" si="1"/>
        <v/>
      </c>
      <c r="L342" s="4"/>
      <c r="M342" s="4" t="str">
        <f t="shared" si="2"/>
        <v/>
      </c>
      <c r="N342" s="4"/>
      <c r="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 t="str">
        <f t="shared" si="1"/>
        <v/>
      </c>
      <c r="L343" s="4"/>
      <c r="M343" s="4" t="str">
        <f t="shared" si="2"/>
        <v/>
      </c>
      <c r="N343" s="4"/>
      <c r="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 t="str">
        <f t="shared" si="1"/>
        <v/>
      </c>
      <c r="L344" s="4"/>
      <c r="M344" s="4" t="str">
        <f t="shared" si="2"/>
        <v/>
      </c>
      <c r="N344" s="4"/>
      <c r="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 t="str">
        <f t="shared" si="1"/>
        <v/>
      </c>
      <c r="L345" s="4"/>
      <c r="M345" s="4" t="str">
        <f t="shared" si="2"/>
        <v/>
      </c>
      <c r="N345" s="4"/>
      <c r="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 t="str">
        <f t="shared" si="1"/>
        <v/>
      </c>
      <c r="L346" s="4"/>
      <c r="M346" s="4" t="str">
        <f t="shared" si="2"/>
        <v/>
      </c>
      <c r="N346" s="4"/>
      <c r="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 t="str">
        <f t="shared" si="1"/>
        <v/>
      </c>
      <c r="L347" s="4"/>
      <c r="M347" s="4" t="str">
        <f t="shared" si="2"/>
        <v/>
      </c>
      <c r="N347" s="4"/>
      <c r="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 t="str">
        <f t="shared" si="1"/>
        <v/>
      </c>
      <c r="L348" s="4"/>
      <c r="M348" s="4" t="str">
        <f t="shared" si="2"/>
        <v/>
      </c>
      <c r="N348" s="4"/>
      <c r="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 t="str">
        <f t="shared" si="1"/>
        <v/>
      </c>
      <c r="L349" s="4"/>
      <c r="M349" s="4" t="str">
        <f t="shared" si="2"/>
        <v/>
      </c>
      <c r="N349" s="4"/>
      <c r="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 t="str">
        <f t="shared" si="1"/>
        <v/>
      </c>
      <c r="L350" s="4"/>
      <c r="M350" s="4" t="str">
        <f t="shared" si="2"/>
        <v/>
      </c>
      <c r="N350" s="4"/>
      <c r="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 t="str">
        <f t="shared" si="1"/>
        <v/>
      </c>
      <c r="L351" s="4"/>
      <c r="M351" s="4" t="str">
        <f t="shared" si="2"/>
        <v/>
      </c>
      <c r="N351" s="4"/>
      <c r="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 t="str">
        <f t="shared" si="1"/>
        <v/>
      </c>
      <c r="L352" s="4"/>
      <c r="M352" s="4" t="str">
        <f t="shared" si="2"/>
        <v/>
      </c>
      <c r="N352" s="4"/>
      <c r="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 t="str">
        <f t="shared" si="1"/>
        <v/>
      </c>
      <c r="L353" s="4"/>
      <c r="M353" s="4" t="str">
        <f t="shared" si="2"/>
        <v/>
      </c>
      <c r="N353" s="4"/>
      <c r="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 t="str">
        <f t="shared" si="1"/>
        <v/>
      </c>
      <c r="L354" s="4"/>
      <c r="M354" s="4" t="str">
        <f t="shared" si="2"/>
        <v/>
      </c>
      <c r="N354" s="4"/>
      <c r="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 t="str">
        <f t="shared" si="1"/>
        <v/>
      </c>
      <c r="L355" s="4"/>
      <c r="M355" s="4" t="str">
        <f t="shared" si="2"/>
        <v/>
      </c>
      <c r="N355" s="4"/>
      <c r="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 t="str">
        <f t="shared" si="1"/>
        <v/>
      </c>
      <c r="L356" s="4"/>
      <c r="M356" s="4" t="str">
        <f t="shared" si="2"/>
        <v/>
      </c>
      <c r="N356" s="4"/>
      <c r="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 t="str">
        <f t="shared" si="1"/>
        <v/>
      </c>
      <c r="L357" s="4"/>
      <c r="M357" s="4" t="str">
        <f t="shared" si="2"/>
        <v/>
      </c>
      <c r="N357" s="4"/>
      <c r="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 t="str">
        <f t="shared" si="1"/>
        <v/>
      </c>
      <c r="L358" s="4"/>
      <c r="M358" s="4" t="str">
        <f t="shared" si="2"/>
        <v/>
      </c>
      <c r="N358" s="4"/>
      <c r="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 t="str">
        <f t="shared" si="1"/>
        <v/>
      </c>
      <c r="L359" s="4"/>
      <c r="M359" s="4" t="str">
        <f t="shared" si="2"/>
        <v/>
      </c>
      <c r="N359" s="4"/>
      <c r="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 t="str">
        <f t="shared" si="1"/>
        <v/>
      </c>
      <c r="L360" s="4"/>
      <c r="M360" s="4" t="str">
        <f t="shared" si="2"/>
        <v/>
      </c>
      <c r="N360" s="4"/>
      <c r="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 t="str">
        <f t="shared" si="1"/>
        <v/>
      </c>
      <c r="L361" s="4"/>
      <c r="M361" s="4" t="str">
        <f t="shared" si="2"/>
        <v/>
      </c>
      <c r="N361" s="4"/>
      <c r="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 t="str">
        <f t="shared" si="1"/>
        <v/>
      </c>
      <c r="L362" s="4"/>
      <c r="M362" s="4" t="str">
        <f t="shared" si="2"/>
        <v/>
      </c>
      <c r="N362" s="4"/>
      <c r="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 t="str">
        <f t="shared" si="1"/>
        <v/>
      </c>
      <c r="L363" s="4"/>
      <c r="M363" s="4" t="str">
        <f t="shared" si="2"/>
        <v/>
      </c>
      <c r="N363" s="4"/>
      <c r="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 t="str">
        <f t="shared" si="1"/>
        <v/>
      </c>
      <c r="L364" s="4"/>
      <c r="M364" s="4" t="str">
        <f t="shared" si="2"/>
        <v/>
      </c>
      <c r="N364" s="4"/>
      <c r="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 t="str">
        <f t="shared" si="1"/>
        <v/>
      </c>
      <c r="L365" s="4"/>
      <c r="M365" s="4" t="str">
        <f t="shared" si="2"/>
        <v/>
      </c>
      <c r="N365" s="4"/>
      <c r="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 t="str">
        <f t="shared" si="1"/>
        <v/>
      </c>
      <c r="L366" s="4"/>
      <c r="M366" s="4" t="str">
        <f t="shared" si="2"/>
        <v/>
      </c>
      <c r="N366" s="4"/>
      <c r="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 t="str">
        <f t="shared" si="1"/>
        <v/>
      </c>
      <c r="L367" s="4"/>
      <c r="M367" s="4" t="str">
        <f t="shared" si="2"/>
        <v/>
      </c>
      <c r="N367" s="4"/>
      <c r="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 t="str">
        <f t="shared" si="1"/>
        <v/>
      </c>
      <c r="L368" s="4"/>
      <c r="M368" s="4" t="str">
        <f t="shared" si="2"/>
        <v/>
      </c>
      <c r="N368" s="4"/>
      <c r="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 t="str">
        <f t="shared" si="1"/>
        <v/>
      </c>
      <c r="L369" s="4"/>
      <c r="M369" s="4" t="str">
        <f t="shared" si="2"/>
        <v/>
      </c>
      <c r="N369" s="4"/>
      <c r="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 t="str">
        <f t="shared" si="1"/>
        <v/>
      </c>
      <c r="L370" s="4"/>
      <c r="M370" s="4" t="str">
        <f t="shared" si="2"/>
        <v/>
      </c>
      <c r="N370" s="4"/>
      <c r="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 t="str">
        <f t="shared" si="1"/>
        <v/>
      </c>
      <c r="L371" s="4"/>
      <c r="M371" s="4" t="str">
        <f t="shared" si="2"/>
        <v/>
      </c>
      <c r="N371" s="4"/>
      <c r="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 t="str">
        <f t="shared" si="1"/>
        <v/>
      </c>
      <c r="L372" s="4"/>
      <c r="M372" s="4" t="str">
        <f t="shared" si="2"/>
        <v/>
      </c>
      <c r="N372" s="4"/>
      <c r="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 t="str">
        <f t="shared" si="1"/>
        <v/>
      </c>
      <c r="L373" s="4"/>
      <c r="M373" s="4" t="str">
        <f t="shared" si="2"/>
        <v/>
      </c>
      <c r="N373" s="4"/>
      <c r="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 t="str">
        <f t="shared" si="1"/>
        <v/>
      </c>
      <c r="L374" s="4"/>
      <c r="M374" s="4" t="str">
        <f t="shared" si="2"/>
        <v/>
      </c>
      <c r="N374" s="4"/>
      <c r="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 t="str">
        <f t="shared" si="1"/>
        <v/>
      </c>
      <c r="L375" s="4"/>
      <c r="M375" s="4" t="str">
        <f t="shared" si="2"/>
        <v/>
      </c>
      <c r="N375" s="4"/>
      <c r="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 t="str">
        <f t="shared" si="1"/>
        <v/>
      </c>
      <c r="L376" s="4"/>
      <c r="M376" s="4" t="str">
        <f t="shared" si="2"/>
        <v/>
      </c>
      <c r="N376" s="4"/>
      <c r="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 t="str">
        <f t="shared" si="1"/>
        <v/>
      </c>
      <c r="L377" s="4"/>
      <c r="M377" s="4" t="str">
        <f t="shared" si="2"/>
        <v/>
      </c>
      <c r="N377" s="4"/>
      <c r="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 t="str">
        <f t="shared" si="1"/>
        <v/>
      </c>
      <c r="L378" s="4"/>
      <c r="M378" s="4" t="str">
        <f t="shared" si="2"/>
        <v/>
      </c>
      <c r="N378" s="4"/>
      <c r="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 t="str">
        <f t="shared" si="1"/>
        <v/>
      </c>
      <c r="L379" s="4"/>
      <c r="M379" s="4" t="str">
        <f t="shared" si="2"/>
        <v/>
      </c>
      <c r="N379" s="4"/>
      <c r="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 t="str">
        <f t="shared" si="1"/>
        <v/>
      </c>
      <c r="L380" s="4"/>
      <c r="M380" s="4" t="str">
        <f t="shared" si="2"/>
        <v/>
      </c>
      <c r="N380" s="4"/>
      <c r="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 t="str">
        <f t="shared" si="1"/>
        <v/>
      </c>
      <c r="L381" s="4"/>
      <c r="M381" s="4" t="str">
        <f t="shared" si="2"/>
        <v/>
      </c>
      <c r="N381" s="4"/>
      <c r="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 t="str">
        <f t="shared" si="1"/>
        <v/>
      </c>
      <c r="L382" s="4"/>
      <c r="M382" s="4" t="str">
        <f t="shared" si="2"/>
        <v/>
      </c>
      <c r="N382" s="4"/>
      <c r="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 t="str">
        <f t="shared" si="1"/>
        <v/>
      </c>
      <c r="L383" s="4"/>
      <c r="M383" s="4" t="str">
        <f t="shared" si="2"/>
        <v/>
      </c>
      <c r="N383" s="4"/>
      <c r="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 t="str">
        <f t="shared" si="1"/>
        <v/>
      </c>
      <c r="L384" s="4"/>
      <c r="M384" s="4" t="str">
        <f t="shared" si="2"/>
        <v/>
      </c>
      <c r="N384" s="4"/>
      <c r="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 t="str">
        <f t="shared" si="1"/>
        <v/>
      </c>
      <c r="L385" s="4"/>
      <c r="M385" s="4" t="str">
        <f t="shared" si="2"/>
        <v/>
      </c>
      <c r="N385" s="4"/>
      <c r="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 t="str">
        <f t="shared" si="1"/>
        <v/>
      </c>
      <c r="L386" s="4"/>
      <c r="M386" s="4" t="str">
        <f t="shared" si="2"/>
        <v/>
      </c>
      <c r="N386" s="4"/>
      <c r="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 t="str">
        <f t="shared" si="1"/>
        <v/>
      </c>
      <c r="L387" s="4"/>
      <c r="M387" s="4" t="str">
        <f t="shared" si="2"/>
        <v/>
      </c>
      <c r="N387" s="4"/>
      <c r="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 t="str">
        <f t="shared" si="1"/>
        <v/>
      </c>
      <c r="L388" s="4"/>
      <c r="M388" s="4" t="str">
        <f t="shared" si="2"/>
        <v/>
      </c>
      <c r="N388" s="4"/>
      <c r="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 t="str">
        <f t="shared" si="1"/>
        <v/>
      </c>
      <c r="L389" s="4"/>
      <c r="M389" s="4" t="str">
        <f t="shared" si="2"/>
        <v/>
      </c>
      <c r="N389" s="4"/>
      <c r="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 t="str">
        <f t="shared" si="1"/>
        <v/>
      </c>
      <c r="L390" s="4"/>
      <c r="M390" s="4" t="str">
        <f t="shared" si="2"/>
        <v/>
      </c>
      <c r="N390" s="4"/>
      <c r="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 t="str">
        <f t="shared" si="1"/>
        <v/>
      </c>
      <c r="L391" s="4"/>
      <c r="M391" s="4" t="str">
        <f t="shared" si="2"/>
        <v/>
      </c>
      <c r="N391" s="4"/>
      <c r="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 t="str">
        <f t="shared" si="1"/>
        <v/>
      </c>
      <c r="L392" s="4"/>
      <c r="M392" s="4" t="str">
        <f t="shared" si="2"/>
        <v/>
      </c>
      <c r="N392" s="4"/>
      <c r="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 t="str">
        <f t="shared" si="1"/>
        <v/>
      </c>
      <c r="L393" s="4"/>
      <c r="M393" s="4" t="str">
        <f t="shared" si="2"/>
        <v/>
      </c>
      <c r="N393" s="4"/>
      <c r="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 t="str">
        <f t="shared" si="1"/>
        <v/>
      </c>
      <c r="L394" s="4"/>
      <c r="M394" s="4" t="str">
        <f t="shared" si="2"/>
        <v/>
      </c>
      <c r="N394" s="4"/>
      <c r="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 t="str">
        <f t="shared" si="1"/>
        <v/>
      </c>
      <c r="L395" s="4"/>
      <c r="M395" s="4" t="str">
        <f t="shared" si="2"/>
        <v/>
      </c>
      <c r="N395" s="4"/>
      <c r="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 t="str">
        <f t="shared" si="1"/>
        <v/>
      </c>
      <c r="L396" s="4"/>
      <c r="M396" s="4" t="str">
        <f t="shared" si="2"/>
        <v/>
      </c>
      <c r="N396" s="4"/>
      <c r="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 t="str">
        <f t="shared" si="1"/>
        <v/>
      </c>
      <c r="L397" s="4"/>
      <c r="M397" s="4" t="str">
        <f t="shared" si="2"/>
        <v/>
      </c>
      <c r="N397" s="4"/>
      <c r="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 t="str">
        <f t="shared" si="1"/>
        <v/>
      </c>
      <c r="L398" s="4"/>
      <c r="M398" s="4" t="str">
        <f t="shared" si="2"/>
        <v/>
      </c>
      <c r="N398" s="4"/>
      <c r="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 t="str">
        <f t="shared" si="1"/>
        <v/>
      </c>
      <c r="L399" s="4"/>
      <c r="M399" s="4" t="str">
        <f t="shared" si="2"/>
        <v/>
      </c>
      <c r="N399" s="4"/>
      <c r="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 t="str">
        <f t="shared" si="1"/>
        <v/>
      </c>
      <c r="L400" s="4"/>
      <c r="M400" s="4" t="str">
        <f t="shared" si="2"/>
        <v/>
      </c>
      <c r="N400" s="4"/>
      <c r="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 t="str">
        <f t="shared" si="1"/>
        <v/>
      </c>
      <c r="L401" s="4"/>
      <c r="M401" s="4" t="str">
        <f t="shared" si="2"/>
        <v/>
      </c>
      <c r="N401" s="4"/>
      <c r="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 t="str">
        <f t="shared" si="1"/>
        <v/>
      </c>
      <c r="L402" s="4"/>
      <c r="M402" s="4" t="str">
        <f t="shared" si="2"/>
        <v/>
      </c>
      <c r="N402" s="4"/>
      <c r="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 t="str">
        <f t="shared" si="1"/>
        <v/>
      </c>
      <c r="L403" s="4"/>
      <c r="M403" s="4" t="str">
        <f t="shared" si="2"/>
        <v/>
      </c>
      <c r="N403" s="4"/>
      <c r="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 t="str">
        <f t="shared" si="1"/>
        <v/>
      </c>
      <c r="L404" s="4"/>
      <c r="M404" s="4" t="str">
        <f t="shared" si="2"/>
        <v/>
      </c>
      <c r="N404" s="4"/>
      <c r="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 t="str">
        <f t="shared" si="1"/>
        <v/>
      </c>
      <c r="L405" s="4"/>
      <c r="M405" s="4" t="str">
        <f t="shared" si="2"/>
        <v/>
      </c>
      <c r="N405" s="4"/>
      <c r="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 t="str">
        <f t="shared" si="1"/>
        <v/>
      </c>
      <c r="L406" s="4"/>
      <c r="M406" s="4" t="str">
        <f t="shared" si="2"/>
        <v/>
      </c>
      <c r="N406" s="4"/>
      <c r="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 t="str">
        <f t="shared" si="1"/>
        <v/>
      </c>
      <c r="L407" s="4"/>
      <c r="M407" s="4" t="str">
        <f t="shared" si="2"/>
        <v/>
      </c>
      <c r="N407" s="4"/>
      <c r="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 t="str">
        <f t="shared" si="1"/>
        <v/>
      </c>
      <c r="L408" s="4"/>
      <c r="M408" s="4" t="str">
        <f t="shared" si="2"/>
        <v/>
      </c>
      <c r="N408" s="4"/>
      <c r="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 t="str">
        <f t="shared" si="1"/>
        <v/>
      </c>
      <c r="L409" s="4"/>
      <c r="M409" s="4" t="str">
        <f t="shared" si="2"/>
        <v/>
      </c>
      <c r="N409" s="4"/>
      <c r="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 t="str">
        <f t="shared" si="1"/>
        <v/>
      </c>
      <c r="L410" s="4"/>
      <c r="M410" s="4" t="str">
        <f t="shared" si="2"/>
        <v/>
      </c>
      <c r="N410" s="4"/>
      <c r="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 t="str">
        <f t="shared" si="1"/>
        <v/>
      </c>
      <c r="L411" s="4"/>
      <c r="M411" s="4" t="str">
        <f t="shared" si="2"/>
        <v/>
      </c>
      <c r="N411" s="4"/>
      <c r="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 t="str">
        <f t="shared" si="1"/>
        <v/>
      </c>
      <c r="L412" s="4"/>
      <c r="M412" s="4" t="str">
        <f t="shared" si="2"/>
        <v/>
      </c>
      <c r="N412" s="4"/>
      <c r="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 t="str">
        <f t="shared" si="1"/>
        <v/>
      </c>
      <c r="L413" s="4"/>
      <c r="M413" s="4" t="str">
        <f t="shared" si="2"/>
        <v/>
      </c>
      <c r="N413" s="4"/>
      <c r="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 t="str">
        <f t="shared" si="1"/>
        <v/>
      </c>
      <c r="L414" s="4"/>
      <c r="M414" s="4" t="str">
        <f t="shared" si="2"/>
        <v/>
      </c>
      <c r="N414" s="4"/>
      <c r="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 t="str">
        <f t="shared" si="1"/>
        <v/>
      </c>
      <c r="L415" s="4"/>
      <c r="M415" s="4" t="str">
        <f t="shared" si="2"/>
        <v/>
      </c>
      <c r="N415" s="4"/>
      <c r="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 t="str">
        <f t="shared" si="1"/>
        <v/>
      </c>
      <c r="L416" s="4"/>
      <c r="M416" s="4" t="str">
        <f t="shared" si="2"/>
        <v/>
      </c>
      <c r="N416" s="4"/>
      <c r="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 t="str">
        <f t="shared" si="1"/>
        <v/>
      </c>
      <c r="L417" s="4"/>
      <c r="M417" s="4" t="str">
        <f t="shared" si="2"/>
        <v/>
      </c>
      <c r="N417" s="4"/>
      <c r="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 t="str">
        <f t="shared" si="1"/>
        <v/>
      </c>
      <c r="L418" s="4"/>
      <c r="M418" s="4" t="str">
        <f t="shared" si="2"/>
        <v/>
      </c>
      <c r="N418" s="4"/>
      <c r="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 t="str">
        <f t="shared" si="1"/>
        <v/>
      </c>
      <c r="L419" s="4"/>
      <c r="M419" s="4" t="str">
        <f t="shared" si="2"/>
        <v/>
      </c>
      <c r="N419" s="4"/>
      <c r="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 t="str">
        <f t="shared" si="1"/>
        <v/>
      </c>
      <c r="L420" s="4"/>
      <c r="M420" s="4" t="str">
        <f t="shared" si="2"/>
        <v/>
      </c>
      <c r="N420" s="4"/>
      <c r="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 t="str">
        <f t="shared" si="1"/>
        <v/>
      </c>
      <c r="L421" s="4"/>
      <c r="M421" s="4" t="str">
        <f t="shared" si="2"/>
        <v/>
      </c>
      <c r="N421" s="4"/>
      <c r="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 t="str">
        <f t="shared" si="1"/>
        <v/>
      </c>
      <c r="L422" s="4"/>
      <c r="M422" s="4" t="str">
        <f t="shared" si="2"/>
        <v/>
      </c>
      <c r="N422" s="4"/>
      <c r="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 t="str">
        <f t="shared" si="1"/>
        <v/>
      </c>
      <c r="L423" s="4"/>
      <c r="M423" s="4" t="str">
        <f t="shared" si="2"/>
        <v/>
      </c>
      <c r="N423" s="4"/>
      <c r="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 t="str">
        <f t="shared" si="1"/>
        <v/>
      </c>
      <c r="L424" s="4"/>
      <c r="M424" s="4" t="str">
        <f t="shared" si="2"/>
        <v/>
      </c>
      <c r="N424" s="4"/>
      <c r="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 t="str">
        <f t="shared" si="1"/>
        <v/>
      </c>
      <c r="L425" s="4"/>
      <c r="M425" s="4" t="str">
        <f t="shared" si="2"/>
        <v/>
      </c>
      <c r="N425" s="4"/>
      <c r="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 t="str">
        <f t="shared" si="1"/>
        <v/>
      </c>
      <c r="L426" s="4"/>
      <c r="M426" s="4" t="str">
        <f t="shared" si="2"/>
        <v/>
      </c>
      <c r="N426" s="4"/>
      <c r="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 t="str">
        <f t="shared" si="1"/>
        <v/>
      </c>
      <c r="L427" s="4"/>
      <c r="M427" s="4" t="str">
        <f t="shared" si="2"/>
        <v/>
      </c>
      <c r="N427" s="4"/>
      <c r="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 t="str">
        <f t="shared" si="1"/>
        <v/>
      </c>
      <c r="L428" s="4"/>
      <c r="M428" s="4" t="str">
        <f t="shared" si="2"/>
        <v/>
      </c>
      <c r="N428" s="4"/>
      <c r="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 t="str">
        <f t="shared" si="1"/>
        <v/>
      </c>
      <c r="L429" s="4"/>
      <c r="M429" s="4" t="str">
        <f t="shared" si="2"/>
        <v/>
      </c>
      <c r="N429" s="4"/>
      <c r="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 t="str">
        <f t="shared" si="1"/>
        <v/>
      </c>
      <c r="L430" s="4"/>
      <c r="M430" s="4" t="str">
        <f t="shared" si="2"/>
        <v/>
      </c>
      <c r="N430" s="4"/>
      <c r="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 t="str">
        <f t="shared" si="1"/>
        <v/>
      </c>
      <c r="L431" s="4"/>
      <c r="M431" s="4" t="str">
        <f t="shared" si="2"/>
        <v/>
      </c>
      <c r="N431" s="4"/>
      <c r="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 t="str">
        <f t="shared" si="1"/>
        <v/>
      </c>
      <c r="L432" s="4"/>
      <c r="M432" s="4" t="str">
        <f t="shared" si="2"/>
        <v/>
      </c>
      <c r="N432" s="4"/>
      <c r="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 t="str">
        <f t="shared" si="1"/>
        <v/>
      </c>
      <c r="L433" s="4"/>
      <c r="M433" s="4" t="str">
        <f t="shared" si="2"/>
        <v/>
      </c>
      <c r="N433" s="4"/>
      <c r="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 t="str">
        <f t="shared" si="1"/>
        <v/>
      </c>
      <c r="L434" s="4"/>
      <c r="M434" s="4" t="str">
        <f t="shared" si="2"/>
        <v/>
      </c>
      <c r="N434" s="4"/>
      <c r="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 t="str">
        <f t="shared" si="1"/>
        <v/>
      </c>
      <c r="L435" s="4"/>
      <c r="M435" s="4" t="str">
        <f t="shared" si="2"/>
        <v/>
      </c>
      <c r="N435" s="4"/>
      <c r="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 t="str">
        <f t="shared" si="1"/>
        <v/>
      </c>
      <c r="L436" s="4"/>
      <c r="M436" s="4" t="str">
        <f t="shared" si="2"/>
        <v/>
      </c>
      <c r="N436" s="4"/>
      <c r="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 t="str">
        <f t="shared" si="1"/>
        <v/>
      </c>
      <c r="L437" s="4"/>
      <c r="M437" s="4" t="str">
        <f t="shared" si="2"/>
        <v/>
      </c>
      <c r="N437" s="4"/>
      <c r="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 t="str">
        <f t="shared" si="1"/>
        <v/>
      </c>
      <c r="L438" s="4"/>
      <c r="M438" s="4" t="str">
        <f t="shared" si="2"/>
        <v/>
      </c>
      <c r="N438" s="4"/>
      <c r="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 t="str">
        <f t="shared" si="1"/>
        <v/>
      </c>
      <c r="L439" s="4"/>
      <c r="M439" s="4" t="str">
        <f t="shared" si="2"/>
        <v/>
      </c>
      <c r="N439" s="4"/>
      <c r="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 t="str">
        <f t="shared" si="1"/>
        <v/>
      </c>
      <c r="L440" s="4"/>
      <c r="M440" s="4" t="str">
        <f t="shared" si="2"/>
        <v/>
      </c>
      <c r="N440" s="4"/>
      <c r="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 t="str">
        <f t="shared" si="1"/>
        <v/>
      </c>
      <c r="L441" s="4"/>
      <c r="M441" s="4" t="str">
        <f t="shared" si="2"/>
        <v/>
      </c>
      <c r="N441" s="4"/>
      <c r="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 t="str">
        <f t="shared" si="1"/>
        <v/>
      </c>
      <c r="L442" s="4"/>
      <c r="M442" s="4" t="str">
        <f t="shared" si="2"/>
        <v/>
      </c>
      <c r="N442" s="4"/>
      <c r="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 t="str">
        <f t="shared" si="1"/>
        <v/>
      </c>
      <c r="L443" s="4"/>
      <c r="M443" s="4" t="str">
        <f t="shared" si="2"/>
        <v/>
      </c>
      <c r="N443" s="4"/>
      <c r="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 t="str">
        <f t="shared" si="1"/>
        <v/>
      </c>
      <c r="L444" s="4"/>
      <c r="M444" s="4" t="str">
        <f t="shared" si="2"/>
        <v/>
      </c>
      <c r="N444" s="4"/>
      <c r="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 t="str">
        <f t="shared" si="1"/>
        <v/>
      </c>
      <c r="L445" s="4"/>
      <c r="M445" s="4" t="str">
        <f t="shared" si="2"/>
        <v/>
      </c>
      <c r="N445" s="4"/>
      <c r="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 t="str">
        <f t="shared" si="1"/>
        <v/>
      </c>
      <c r="L446" s="4"/>
      <c r="M446" s="4" t="str">
        <f t="shared" si="2"/>
        <v/>
      </c>
      <c r="N446" s="4"/>
      <c r="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 t="str">
        <f t="shared" si="1"/>
        <v/>
      </c>
      <c r="L447" s="4"/>
      <c r="M447" s="4" t="str">
        <f t="shared" si="2"/>
        <v/>
      </c>
      <c r="N447" s="4"/>
      <c r="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 t="str">
        <f t="shared" si="1"/>
        <v/>
      </c>
      <c r="L448" s="4"/>
      <c r="M448" s="4" t="str">
        <f t="shared" si="2"/>
        <v/>
      </c>
      <c r="N448" s="4"/>
      <c r="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 t="str">
        <f t="shared" si="1"/>
        <v/>
      </c>
      <c r="L449" s="4"/>
      <c r="M449" s="4" t="str">
        <f t="shared" si="2"/>
        <v/>
      </c>
      <c r="N449" s="4"/>
      <c r="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 t="str">
        <f t="shared" si="1"/>
        <v/>
      </c>
      <c r="L450" s="4"/>
      <c r="M450" s="4" t="str">
        <f t="shared" si="2"/>
        <v/>
      </c>
      <c r="N450" s="4"/>
      <c r="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 t="str">
        <f t="shared" si="1"/>
        <v/>
      </c>
      <c r="L451" s="4"/>
      <c r="M451" s="4" t="str">
        <f t="shared" si="2"/>
        <v/>
      </c>
      <c r="N451" s="4"/>
      <c r="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 t="str">
        <f t="shared" si="1"/>
        <v/>
      </c>
      <c r="L452" s="4"/>
      <c r="M452" s="4" t="str">
        <f t="shared" si="2"/>
        <v/>
      </c>
      <c r="N452" s="4"/>
      <c r="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 t="str">
        <f t="shared" si="1"/>
        <v/>
      </c>
      <c r="L453" s="4"/>
      <c r="M453" s="4" t="str">
        <f t="shared" si="2"/>
        <v/>
      </c>
      <c r="N453" s="4"/>
      <c r="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 t="str">
        <f t="shared" si="1"/>
        <v/>
      </c>
      <c r="L454" s="4"/>
      <c r="M454" s="4" t="str">
        <f t="shared" si="2"/>
        <v/>
      </c>
      <c r="N454" s="4"/>
      <c r="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 t="str">
        <f t="shared" si="1"/>
        <v/>
      </c>
      <c r="L455" s="4"/>
      <c r="M455" s="4" t="str">
        <f t="shared" si="2"/>
        <v/>
      </c>
      <c r="N455" s="4"/>
      <c r="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 t="str">
        <f t="shared" si="1"/>
        <v/>
      </c>
      <c r="L456" s="4"/>
      <c r="M456" s="4" t="str">
        <f t="shared" si="2"/>
        <v/>
      </c>
      <c r="N456" s="4"/>
      <c r="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 t="str">
        <f t="shared" si="1"/>
        <v/>
      </c>
      <c r="L457" s="4"/>
      <c r="M457" s="4" t="str">
        <f t="shared" si="2"/>
        <v/>
      </c>
      <c r="N457" s="4"/>
      <c r="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 t="str">
        <f t="shared" si="1"/>
        <v/>
      </c>
      <c r="L458" s="4"/>
      <c r="M458" s="4" t="str">
        <f t="shared" si="2"/>
        <v/>
      </c>
      <c r="N458" s="4"/>
      <c r="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 t="str">
        <f t="shared" si="1"/>
        <v/>
      </c>
      <c r="L459" s="4"/>
      <c r="M459" s="4" t="str">
        <f t="shared" si="2"/>
        <v/>
      </c>
      <c r="N459" s="4"/>
      <c r="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 t="str">
        <f t="shared" si="1"/>
        <v/>
      </c>
      <c r="L460" s="4"/>
      <c r="M460" s="4" t="str">
        <f t="shared" si="2"/>
        <v/>
      </c>
      <c r="N460" s="4"/>
      <c r="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 t="str">
        <f t="shared" si="1"/>
        <v/>
      </c>
      <c r="L461" s="4"/>
      <c r="M461" s="4" t="str">
        <f t="shared" si="2"/>
        <v/>
      </c>
      <c r="N461" s="4"/>
      <c r="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 t="str">
        <f t="shared" si="1"/>
        <v/>
      </c>
      <c r="L462" s="4"/>
      <c r="M462" s="4" t="str">
        <f t="shared" si="2"/>
        <v/>
      </c>
      <c r="N462" s="4"/>
      <c r="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 t="str">
        <f t="shared" si="1"/>
        <v/>
      </c>
      <c r="L463" s="4"/>
      <c r="M463" s="4" t="str">
        <f t="shared" si="2"/>
        <v/>
      </c>
      <c r="N463" s="4"/>
      <c r="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 t="str">
        <f t="shared" si="1"/>
        <v/>
      </c>
      <c r="L464" s="4"/>
      <c r="M464" s="4" t="str">
        <f t="shared" si="2"/>
        <v/>
      </c>
      <c r="N464" s="4"/>
      <c r="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 t="str">
        <f t="shared" si="1"/>
        <v/>
      </c>
      <c r="L465" s="4"/>
      <c r="M465" s="4" t="str">
        <f t="shared" si="2"/>
        <v/>
      </c>
      <c r="N465" s="4"/>
      <c r="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 t="str">
        <f t="shared" si="1"/>
        <v/>
      </c>
      <c r="L466" s="4"/>
      <c r="M466" s="4" t="str">
        <f t="shared" si="2"/>
        <v/>
      </c>
      <c r="N466" s="4"/>
      <c r="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 t="str">
        <f t="shared" si="1"/>
        <v/>
      </c>
      <c r="L467" s="4"/>
      <c r="M467" s="4" t="str">
        <f t="shared" si="2"/>
        <v/>
      </c>
      <c r="N467" s="4"/>
      <c r="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 t="str">
        <f t="shared" si="1"/>
        <v/>
      </c>
      <c r="L468" s="4"/>
      <c r="M468" s="4" t="str">
        <f t="shared" si="2"/>
        <v/>
      </c>
      <c r="N468" s="4"/>
      <c r="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 t="str">
        <f t="shared" si="1"/>
        <v/>
      </c>
      <c r="L469" s="4"/>
      <c r="M469" s="4" t="str">
        <f t="shared" si="2"/>
        <v/>
      </c>
      <c r="N469" s="4"/>
      <c r="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 t="str">
        <f t="shared" si="1"/>
        <v/>
      </c>
      <c r="L470" s="4"/>
      <c r="M470" s="4" t="str">
        <f t="shared" si="2"/>
        <v/>
      </c>
      <c r="N470" s="4"/>
      <c r="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 t="str">
        <f t="shared" si="1"/>
        <v/>
      </c>
      <c r="L471" s="4"/>
      <c r="M471" s="4" t="str">
        <f t="shared" si="2"/>
        <v/>
      </c>
      <c r="N471" s="4"/>
      <c r="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 t="str">
        <f t="shared" si="1"/>
        <v/>
      </c>
      <c r="L472" s="4"/>
      <c r="M472" s="4" t="str">
        <f t="shared" si="2"/>
        <v/>
      </c>
      <c r="N472" s="4"/>
      <c r="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 t="str">
        <f t="shared" si="1"/>
        <v/>
      </c>
      <c r="L473" s="4"/>
      <c r="M473" s="4" t="str">
        <f t="shared" si="2"/>
        <v/>
      </c>
      <c r="N473" s="4"/>
      <c r="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 t="str">
        <f t="shared" si="1"/>
        <v/>
      </c>
      <c r="L474" s="4"/>
      <c r="M474" s="4" t="str">
        <f t="shared" si="2"/>
        <v/>
      </c>
      <c r="N474" s="4"/>
      <c r="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 t="str">
        <f t="shared" si="1"/>
        <v/>
      </c>
      <c r="L475" s="4"/>
      <c r="M475" s="4" t="str">
        <f t="shared" si="2"/>
        <v/>
      </c>
      <c r="N475" s="4"/>
      <c r="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 t="str">
        <f t="shared" si="1"/>
        <v/>
      </c>
      <c r="L476" s="4"/>
      <c r="M476" s="4" t="str">
        <f t="shared" si="2"/>
        <v/>
      </c>
      <c r="N476" s="4"/>
      <c r="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 t="str">
        <f t="shared" si="1"/>
        <v/>
      </c>
      <c r="L477" s="4"/>
      <c r="M477" s="4" t="str">
        <f t="shared" si="2"/>
        <v/>
      </c>
      <c r="N477" s="4"/>
      <c r="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 t="str">
        <f t="shared" si="1"/>
        <v/>
      </c>
      <c r="L478" s="4"/>
      <c r="M478" s="4" t="str">
        <f t="shared" si="2"/>
        <v/>
      </c>
      <c r="N478" s="4"/>
      <c r="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 t="str">
        <f t="shared" si="1"/>
        <v/>
      </c>
      <c r="L479" s="4"/>
      <c r="M479" s="4" t="str">
        <f t="shared" si="2"/>
        <v/>
      </c>
      <c r="N479" s="4"/>
      <c r="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 t="str">
        <f t="shared" si="1"/>
        <v/>
      </c>
      <c r="L480" s="4"/>
      <c r="M480" s="4" t="str">
        <f t="shared" si="2"/>
        <v/>
      </c>
      <c r="N480" s="4"/>
      <c r="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 t="str">
        <f t="shared" si="1"/>
        <v/>
      </c>
      <c r="L481" s="4"/>
      <c r="M481" s="4" t="str">
        <f t="shared" si="2"/>
        <v/>
      </c>
      <c r="N481" s="4"/>
      <c r="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 t="str">
        <f t="shared" si="1"/>
        <v/>
      </c>
      <c r="L482" s="4"/>
      <c r="M482" s="4" t="str">
        <f t="shared" si="2"/>
        <v/>
      </c>
      <c r="N482" s="4"/>
      <c r="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 t="str">
        <f t="shared" si="1"/>
        <v/>
      </c>
      <c r="L483" s="4"/>
      <c r="M483" s="4" t="str">
        <f t="shared" si="2"/>
        <v/>
      </c>
      <c r="N483" s="4"/>
      <c r="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 t="str">
        <f t="shared" si="1"/>
        <v/>
      </c>
      <c r="L484" s="4"/>
      <c r="M484" s="4" t="str">
        <f t="shared" si="2"/>
        <v/>
      </c>
      <c r="N484" s="4"/>
      <c r="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 t="str">
        <f t="shared" si="1"/>
        <v/>
      </c>
      <c r="L485" s="4"/>
      <c r="M485" s="4" t="str">
        <f t="shared" si="2"/>
        <v/>
      </c>
      <c r="N485" s="4"/>
      <c r="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 t="str">
        <f t="shared" si="1"/>
        <v/>
      </c>
      <c r="L486" s="4"/>
      <c r="M486" s="4" t="str">
        <f t="shared" si="2"/>
        <v/>
      </c>
      <c r="N486" s="4"/>
      <c r="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 t="str">
        <f t="shared" si="1"/>
        <v/>
      </c>
      <c r="L487" s="4"/>
      <c r="M487" s="4" t="str">
        <f t="shared" si="2"/>
        <v/>
      </c>
      <c r="N487" s="4"/>
      <c r="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 t="str">
        <f t="shared" si="1"/>
        <v/>
      </c>
      <c r="L488" s="4"/>
      <c r="M488" s="4" t="str">
        <f t="shared" si="2"/>
        <v/>
      </c>
      <c r="N488" s="4"/>
      <c r="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 t="str">
        <f t="shared" si="1"/>
        <v/>
      </c>
      <c r="L489" s="4"/>
      <c r="M489" s="4" t="str">
        <f t="shared" si="2"/>
        <v/>
      </c>
      <c r="N489" s="4"/>
      <c r="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 t="str">
        <f t="shared" si="1"/>
        <v/>
      </c>
      <c r="L490" s="4"/>
      <c r="M490" s="4" t="str">
        <f t="shared" si="2"/>
        <v/>
      </c>
      <c r="N490" s="4"/>
      <c r="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 t="str">
        <f t="shared" si="1"/>
        <v/>
      </c>
      <c r="L491" s="4"/>
      <c r="M491" s="4" t="str">
        <f t="shared" si="2"/>
        <v/>
      </c>
      <c r="N491" s="4"/>
      <c r="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 t="str">
        <f t="shared" si="1"/>
        <v/>
      </c>
      <c r="L492" s="4"/>
      <c r="M492" s="4" t="str">
        <f t="shared" si="2"/>
        <v/>
      </c>
      <c r="N492" s="4"/>
      <c r="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 t="str">
        <f t="shared" si="1"/>
        <v/>
      </c>
      <c r="L493" s="4"/>
      <c r="M493" s="4" t="str">
        <f t="shared" si="2"/>
        <v/>
      </c>
      <c r="N493" s="4"/>
      <c r="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 t="str">
        <f t="shared" si="1"/>
        <v/>
      </c>
      <c r="L494" s="4"/>
      <c r="M494" s="4" t="str">
        <f t="shared" si="2"/>
        <v/>
      </c>
      <c r="N494" s="4"/>
      <c r="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 t="str">
        <f t="shared" si="1"/>
        <v/>
      </c>
      <c r="L495" s="4"/>
      <c r="M495" s="4" t="str">
        <f t="shared" si="2"/>
        <v/>
      </c>
      <c r="N495" s="4"/>
      <c r="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 t="str">
        <f t="shared" si="1"/>
        <v/>
      </c>
      <c r="L496" s="4"/>
      <c r="M496" s="4" t="str">
        <f t="shared" si="2"/>
        <v/>
      </c>
      <c r="N496" s="4"/>
      <c r="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 t="str">
        <f t="shared" si="1"/>
        <v/>
      </c>
      <c r="L497" s="4"/>
      <c r="M497" s="4" t="str">
        <f t="shared" si="2"/>
        <v/>
      </c>
      <c r="N497" s="4"/>
      <c r="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 t="str">
        <f t="shared" si="1"/>
        <v/>
      </c>
      <c r="L498" s="4"/>
      <c r="M498" s="4" t="str">
        <f t="shared" si="2"/>
        <v/>
      </c>
      <c r="N498" s="4"/>
      <c r="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 t="str">
        <f t="shared" si="1"/>
        <v/>
      </c>
      <c r="L499" s="4"/>
      <c r="M499" s="4" t="str">
        <f t="shared" si="2"/>
        <v/>
      </c>
      <c r="N499" s="4"/>
      <c r="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 t="str">
        <f t="shared" si="1"/>
        <v/>
      </c>
      <c r="L500" s="4"/>
      <c r="M500" s="4" t="str">
        <f t="shared" si="2"/>
        <v/>
      </c>
      <c r="N500" s="4"/>
      <c r="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 t="str">
        <f t="shared" si="1"/>
        <v/>
      </c>
      <c r="L501" s="4"/>
      <c r="M501" s="4" t="str">
        <f t="shared" si="2"/>
        <v/>
      </c>
      <c r="N501" s="4"/>
      <c r="O501" s="4"/>
    </row>
  </sheetData>
  <autoFilter ref="$A$1:$O$50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32.0"/>
    <col customWidth="1" min="4" max="4" width="30.0"/>
    <col customWidth="1" min="5" max="5" width="18.0"/>
    <col customWidth="1" min="6" max="6" width="12.0"/>
    <col customWidth="1" min="7" max="7" width="10.0"/>
    <col customWidth="1" min="8" max="8" width="22.0"/>
    <col customWidth="1" min="9" max="9" width="16.0"/>
    <col customWidth="1" min="10" max="11" width="8.71"/>
  </cols>
  <sheetData>
    <row r="1">
      <c r="A1" s="5" t="s">
        <v>53</v>
      </c>
      <c r="B1" s="5" t="s">
        <v>49</v>
      </c>
      <c r="C1" s="5" t="s">
        <v>54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33</v>
      </c>
      <c r="I1" s="5" t="s">
        <v>34</v>
      </c>
    </row>
    <row r="2">
      <c r="A2" s="4"/>
      <c r="B2" s="4"/>
      <c r="C2" s="4"/>
      <c r="D2" s="4"/>
      <c r="E2" s="4"/>
      <c r="F2" s="4"/>
      <c r="G2" s="4"/>
      <c r="H2" s="4"/>
      <c r="I2" s="4" t="str">
        <f t="shared" ref="I2:I501" si="1">IF(OR(F2="",H2=""),"",F2*H2)</f>
        <v/>
      </c>
    </row>
    <row r="3">
      <c r="A3" s="4"/>
      <c r="B3" s="4"/>
      <c r="C3" s="4"/>
      <c r="D3" s="4"/>
      <c r="E3" s="4"/>
      <c r="F3" s="4"/>
      <c r="G3" s="4"/>
      <c r="H3" s="4"/>
      <c r="I3" s="4" t="str">
        <f t="shared" si="1"/>
        <v/>
      </c>
    </row>
    <row r="4">
      <c r="A4" s="4"/>
      <c r="B4" s="4"/>
      <c r="C4" s="4"/>
      <c r="D4" s="4"/>
      <c r="E4" s="4"/>
      <c r="F4" s="4"/>
      <c r="G4" s="4"/>
      <c r="H4" s="4"/>
      <c r="I4" s="4" t="str">
        <f t="shared" si="1"/>
        <v/>
      </c>
    </row>
    <row r="5">
      <c r="A5" s="4"/>
      <c r="B5" s="4"/>
      <c r="C5" s="4"/>
      <c r="D5" s="4"/>
      <c r="E5" s="4"/>
      <c r="F5" s="4"/>
      <c r="G5" s="4"/>
      <c r="H5" s="4"/>
      <c r="I5" s="4" t="str">
        <f t="shared" si="1"/>
        <v/>
      </c>
    </row>
    <row r="6">
      <c r="A6" s="4"/>
      <c r="B6" s="4"/>
      <c r="C6" s="4"/>
      <c r="D6" s="4"/>
      <c r="E6" s="4"/>
      <c r="F6" s="4"/>
      <c r="G6" s="4"/>
      <c r="H6" s="4"/>
      <c r="I6" s="4" t="str">
        <f t="shared" si="1"/>
        <v/>
      </c>
    </row>
    <row r="7">
      <c r="A7" s="4"/>
      <c r="B7" s="4"/>
      <c r="C7" s="4"/>
      <c r="D7" s="4"/>
      <c r="E7" s="4"/>
      <c r="F7" s="4"/>
      <c r="G7" s="4"/>
      <c r="H7" s="4"/>
      <c r="I7" s="4" t="str">
        <f t="shared" si="1"/>
        <v/>
      </c>
    </row>
    <row r="8">
      <c r="A8" s="4"/>
      <c r="B8" s="4"/>
      <c r="C8" s="4"/>
      <c r="D8" s="4"/>
      <c r="E8" s="4"/>
      <c r="F8" s="4"/>
      <c r="G8" s="4"/>
      <c r="H8" s="4"/>
      <c r="I8" s="4" t="str">
        <f t="shared" si="1"/>
        <v/>
      </c>
    </row>
    <row r="9">
      <c r="A9" s="4"/>
      <c r="B9" s="4"/>
      <c r="C9" s="4"/>
      <c r="D9" s="4"/>
      <c r="E9" s="4"/>
      <c r="F9" s="4"/>
      <c r="G9" s="4"/>
      <c r="H9" s="4"/>
      <c r="I9" s="4" t="str">
        <f t="shared" si="1"/>
        <v/>
      </c>
    </row>
    <row r="10">
      <c r="A10" s="4"/>
      <c r="B10" s="4"/>
      <c r="C10" s="4"/>
      <c r="D10" s="4"/>
      <c r="E10" s="4"/>
      <c r="F10" s="4"/>
      <c r="G10" s="4"/>
      <c r="H10" s="4"/>
      <c r="I10" s="4" t="str">
        <f t="shared" si="1"/>
        <v/>
      </c>
    </row>
    <row r="11">
      <c r="A11" s="4"/>
      <c r="B11" s="4"/>
      <c r="C11" s="4"/>
      <c r="D11" s="4"/>
      <c r="E11" s="4"/>
      <c r="F11" s="4"/>
      <c r="G11" s="4"/>
      <c r="H11" s="4"/>
      <c r="I11" s="4" t="str">
        <f t="shared" si="1"/>
        <v/>
      </c>
    </row>
    <row r="12">
      <c r="A12" s="4"/>
      <c r="B12" s="4"/>
      <c r="C12" s="4"/>
      <c r="D12" s="4"/>
      <c r="E12" s="4"/>
      <c r="F12" s="4"/>
      <c r="G12" s="4"/>
      <c r="H12" s="4"/>
      <c r="I12" s="4" t="str">
        <f t="shared" si="1"/>
        <v/>
      </c>
    </row>
    <row r="13">
      <c r="A13" s="4"/>
      <c r="B13" s="4"/>
      <c r="C13" s="4"/>
      <c r="D13" s="4"/>
      <c r="E13" s="4"/>
      <c r="F13" s="4"/>
      <c r="G13" s="4"/>
      <c r="H13" s="4"/>
      <c r="I13" s="4" t="str">
        <f t="shared" si="1"/>
        <v/>
      </c>
    </row>
    <row r="14">
      <c r="A14" s="4"/>
      <c r="B14" s="4"/>
      <c r="C14" s="4"/>
      <c r="D14" s="4"/>
      <c r="E14" s="4"/>
      <c r="F14" s="4"/>
      <c r="G14" s="4"/>
      <c r="H14" s="4"/>
      <c r="I14" s="4" t="str">
        <f t="shared" si="1"/>
        <v/>
      </c>
    </row>
    <row r="15">
      <c r="A15" s="4"/>
      <c r="B15" s="4"/>
      <c r="C15" s="4"/>
      <c r="D15" s="4"/>
      <c r="E15" s="4"/>
      <c r="F15" s="4"/>
      <c r="G15" s="4"/>
      <c r="H15" s="4"/>
      <c r="I15" s="4" t="str">
        <f t="shared" si="1"/>
        <v/>
      </c>
    </row>
    <row r="16">
      <c r="A16" s="4"/>
      <c r="B16" s="4"/>
      <c r="C16" s="4"/>
      <c r="D16" s="4"/>
      <c r="E16" s="4"/>
      <c r="F16" s="4"/>
      <c r="G16" s="4"/>
      <c r="H16" s="4"/>
      <c r="I16" s="4" t="str">
        <f t="shared" si="1"/>
        <v/>
      </c>
    </row>
    <row r="17">
      <c r="A17" s="4"/>
      <c r="B17" s="4"/>
      <c r="C17" s="4"/>
      <c r="D17" s="4"/>
      <c r="E17" s="4"/>
      <c r="F17" s="4"/>
      <c r="G17" s="4"/>
      <c r="H17" s="4"/>
      <c r="I17" s="4" t="str">
        <f t="shared" si="1"/>
        <v/>
      </c>
    </row>
    <row r="18">
      <c r="A18" s="4"/>
      <c r="B18" s="4"/>
      <c r="C18" s="4"/>
      <c r="D18" s="4"/>
      <c r="E18" s="4"/>
      <c r="F18" s="4"/>
      <c r="G18" s="4"/>
      <c r="H18" s="4"/>
      <c r="I18" s="4" t="str">
        <f t="shared" si="1"/>
        <v/>
      </c>
    </row>
    <row r="19">
      <c r="A19" s="4"/>
      <c r="B19" s="4"/>
      <c r="C19" s="4"/>
      <c r="D19" s="4"/>
      <c r="E19" s="4"/>
      <c r="F19" s="4"/>
      <c r="G19" s="4"/>
      <c r="H19" s="4"/>
      <c r="I19" s="4" t="str">
        <f t="shared" si="1"/>
        <v/>
      </c>
    </row>
    <row r="20">
      <c r="A20" s="4"/>
      <c r="B20" s="4"/>
      <c r="C20" s="4"/>
      <c r="D20" s="4"/>
      <c r="E20" s="4"/>
      <c r="F20" s="4"/>
      <c r="G20" s="4"/>
      <c r="H20" s="4"/>
      <c r="I20" s="4" t="str">
        <f t="shared" si="1"/>
        <v/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 t="str">
        <f t="shared" si="1"/>
        <v/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 t="str">
        <f t="shared" si="1"/>
        <v/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 t="str">
        <f t="shared" si="1"/>
        <v/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 t="str">
        <f t="shared" si="1"/>
        <v/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 t="str">
        <f t="shared" si="1"/>
        <v/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 t="str">
        <f t="shared" si="1"/>
        <v/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 t="str">
        <f t="shared" si="1"/>
        <v/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 t="str">
        <f t="shared" si="1"/>
        <v/>
      </c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 t="str">
        <f t="shared" si="1"/>
        <v/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 t="str">
        <f t="shared" si="1"/>
        <v/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 t="str">
        <f t="shared" si="1"/>
        <v/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 t="str">
        <f t="shared" si="1"/>
        <v/>
      </c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 t="str">
        <f t="shared" si="1"/>
        <v/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 t="str">
        <f t="shared" si="1"/>
        <v/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 t="str">
        <f t="shared" si="1"/>
        <v/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 t="str">
        <f t="shared" si="1"/>
        <v/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 t="str">
        <f t="shared" si="1"/>
        <v/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 t="str">
        <f t="shared" si="1"/>
        <v/>
      </c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 t="str">
        <f t="shared" si="1"/>
        <v/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 t="str">
        <f t="shared" si="1"/>
        <v/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 t="str">
        <f t="shared" si="1"/>
        <v/>
      </c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 t="str">
        <f t="shared" si="1"/>
        <v/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 t="str">
        <f t="shared" si="1"/>
        <v/>
      </c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 t="str">
        <f t="shared" si="1"/>
        <v/>
      </c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 t="str">
        <f t="shared" si="1"/>
        <v/>
      </c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 t="str">
        <f t="shared" si="1"/>
        <v/>
      </c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 t="str">
        <f t="shared" si="1"/>
        <v/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 t="str">
        <f t="shared" si="1"/>
        <v/>
      </c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 t="str">
        <f t="shared" si="1"/>
        <v/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 t="str">
        <f t="shared" si="1"/>
        <v/>
      </c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 t="str">
        <f t="shared" si="1"/>
        <v/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 t="str">
        <f t="shared" si="1"/>
        <v/>
      </c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 t="str">
        <f t="shared" si="1"/>
        <v/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 t="str">
        <f t="shared" si="1"/>
        <v/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 t="str">
        <f t="shared" si="1"/>
        <v/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 t="str">
        <f t="shared" si="1"/>
        <v/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 t="str">
        <f t="shared" si="1"/>
        <v/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 t="str">
        <f t="shared" si="1"/>
        <v/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 t="str">
        <f t="shared" si="1"/>
        <v/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 t="str">
        <f t="shared" si="1"/>
        <v/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 t="str">
        <f t="shared" si="1"/>
        <v/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 t="str">
        <f t="shared" si="1"/>
        <v/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 t="str">
        <f t="shared" si="1"/>
        <v/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 t="str">
        <f t="shared" si="1"/>
        <v/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 t="str">
        <f t="shared" si="1"/>
        <v/>
      </c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 t="str">
        <f t="shared" si="1"/>
        <v/>
      </c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 t="str">
        <f t="shared" si="1"/>
        <v/>
      </c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 t="str">
        <f t="shared" si="1"/>
        <v/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 t="str">
        <f t="shared" si="1"/>
        <v/>
      </c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 t="str">
        <f t="shared" si="1"/>
        <v/>
      </c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 t="str">
        <f t="shared" si="1"/>
        <v/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 t="str">
        <f t="shared" si="1"/>
        <v/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 t="str">
        <f t="shared" si="1"/>
        <v/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 t="str">
        <f t="shared" si="1"/>
        <v/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 t="str">
        <f t="shared" si="1"/>
        <v/>
      </c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 t="str">
        <f t="shared" si="1"/>
        <v/>
      </c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 t="str">
        <f t="shared" si="1"/>
        <v/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 t="str">
        <f t="shared" si="1"/>
        <v/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 t="str">
        <f t="shared" si="1"/>
        <v/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 t="str">
        <f t="shared" si="1"/>
        <v/>
      </c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 t="str">
        <f t="shared" si="1"/>
        <v/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 t="str">
        <f t="shared" si="1"/>
        <v/>
      </c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 t="str">
        <f t="shared" si="1"/>
        <v/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 t="str">
        <f t="shared" si="1"/>
        <v/>
      </c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 t="str">
        <f t="shared" si="1"/>
        <v/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 t="str">
        <f t="shared" si="1"/>
        <v/>
      </c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 t="str">
        <f t="shared" si="1"/>
        <v/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 t="str">
        <f t="shared" si="1"/>
        <v/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 t="str">
        <f t="shared" si="1"/>
        <v/>
      </c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 t="str">
        <f t="shared" si="1"/>
        <v/>
      </c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 t="str">
        <f t="shared" si="1"/>
        <v/>
      </c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 t="str">
        <f t="shared" si="1"/>
        <v/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 t="str">
        <f t="shared" si="1"/>
        <v/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 t="str">
        <f t="shared" si="1"/>
        <v/>
      </c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 t="str">
        <f t="shared" si="1"/>
        <v/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 t="str">
        <f t="shared" si="1"/>
        <v/>
      </c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 t="str">
        <f t="shared" si="1"/>
        <v/>
      </c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 t="str">
        <f t="shared" si="1"/>
        <v/>
      </c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 t="str">
        <f t="shared" si="1"/>
        <v/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 t="str">
        <f t="shared" si="1"/>
        <v/>
      </c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 t="str">
        <f t="shared" si="1"/>
        <v/>
      </c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 t="str">
        <f t="shared" si="1"/>
        <v/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 t="str">
        <f t="shared" si="1"/>
        <v/>
      </c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 t="str">
        <f t="shared" si="1"/>
        <v/>
      </c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 t="str">
        <f t="shared" si="1"/>
        <v/>
      </c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 t="str">
        <f t="shared" si="1"/>
        <v/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 t="str">
        <f t="shared" si="1"/>
        <v/>
      </c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 t="str">
        <f t="shared" si="1"/>
        <v/>
      </c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 t="str">
        <f t="shared" si="1"/>
        <v/>
      </c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 t="str">
        <f t="shared" si="1"/>
        <v/>
      </c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 t="str">
        <f t="shared" si="1"/>
        <v/>
      </c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 t="str">
        <f t="shared" si="1"/>
        <v/>
      </c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 t="str">
        <f t="shared" si="1"/>
        <v/>
      </c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 t="str">
        <f t="shared" si="1"/>
        <v/>
      </c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 t="str">
        <f t="shared" si="1"/>
        <v/>
      </c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 t="str">
        <f t="shared" si="1"/>
        <v/>
      </c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 t="str">
        <f t="shared" si="1"/>
        <v/>
      </c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 t="str">
        <f t="shared" si="1"/>
        <v/>
      </c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 t="str">
        <f t="shared" si="1"/>
        <v/>
      </c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 t="str">
        <f t="shared" si="1"/>
        <v/>
      </c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 t="str">
        <f t="shared" si="1"/>
        <v/>
      </c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 t="str">
        <f t="shared" si="1"/>
        <v/>
      </c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 t="str">
        <f t="shared" si="1"/>
        <v/>
      </c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 t="str">
        <f t="shared" si="1"/>
        <v/>
      </c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 t="str">
        <f t="shared" si="1"/>
        <v/>
      </c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 t="str">
        <f t="shared" si="1"/>
        <v/>
      </c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 t="str">
        <f t="shared" si="1"/>
        <v/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 t="str">
        <f t="shared" si="1"/>
        <v/>
      </c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 t="str">
        <f t="shared" si="1"/>
        <v/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 t="str">
        <f t="shared" si="1"/>
        <v/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 t="str">
        <f t="shared" si="1"/>
        <v/>
      </c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 t="str">
        <f t="shared" si="1"/>
        <v/>
      </c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 t="str">
        <f t="shared" si="1"/>
        <v/>
      </c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 t="str">
        <f t="shared" si="1"/>
        <v/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 t="str">
        <f t="shared" si="1"/>
        <v/>
      </c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 t="str">
        <f t="shared" si="1"/>
        <v/>
      </c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 t="str">
        <f t="shared" si="1"/>
        <v/>
      </c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 t="str">
        <f t="shared" si="1"/>
        <v/>
      </c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 t="str">
        <f t="shared" si="1"/>
        <v/>
      </c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 t="str">
        <f t="shared" si="1"/>
        <v/>
      </c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 t="str">
        <f t="shared" si="1"/>
        <v/>
      </c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 t="str">
        <f t="shared" si="1"/>
        <v/>
      </c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 t="str">
        <f t="shared" si="1"/>
        <v/>
      </c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 t="str">
        <f t="shared" si="1"/>
        <v/>
      </c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 t="str">
        <f t="shared" si="1"/>
        <v/>
      </c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 t="str">
        <f t="shared" si="1"/>
        <v/>
      </c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 t="str">
        <f t="shared" si="1"/>
        <v/>
      </c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 t="str">
        <f t="shared" si="1"/>
        <v/>
      </c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 t="str">
        <f t="shared" si="1"/>
        <v/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 t="str">
        <f t="shared" si="1"/>
        <v/>
      </c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 t="str">
        <f t="shared" si="1"/>
        <v/>
      </c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 t="str">
        <f t="shared" si="1"/>
        <v/>
      </c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 t="str">
        <f t="shared" si="1"/>
        <v/>
      </c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 t="str">
        <f t="shared" si="1"/>
        <v/>
      </c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 t="str">
        <f t="shared" si="1"/>
        <v/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 t="str">
        <f t="shared" si="1"/>
        <v/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 t="str">
        <f t="shared" si="1"/>
        <v/>
      </c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 t="str">
        <f t="shared" si="1"/>
        <v/>
      </c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 t="str">
        <f t="shared" si="1"/>
        <v/>
      </c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 t="str">
        <f t="shared" si="1"/>
        <v/>
      </c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 t="str">
        <f t="shared" si="1"/>
        <v/>
      </c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 t="str">
        <f t="shared" si="1"/>
        <v/>
      </c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 t="str">
        <f t="shared" si="1"/>
        <v/>
      </c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 t="str">
        <f t="shared" si="1"/>
        <v/>
      </c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 t="str">
        <f t="shared" si="1"/>
        <v/>
      </c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 t="str">
        <f t="shared" si="1"/>
        <v/>
      </c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 t="str">
        <f t="shared" si="1"/>
        <v/>
      </c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 t="str">
        <f t="shared" si="1"/>
        <v/>
      </c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 t="str">
        <f t="shared" si="1"/>
        <v/>
      </c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 t="str">
        <f t="shared" si="1"/>
        <v/>
      </c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 t="str">
        <f t="shared" si="1"/>
        <v/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 t="str">
        <f t="shared" si="1"/>
        <v/>
      </c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 t="str">
        <f t="shared" si="1"/>
        <v/>
      </c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 t="str">
        <f t="shared" si="1"/>
        <v/>
      </c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 t="str">
        <f t="shared" si="1"/>
        <v/>
      </c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 t="str">
        <f t="shared" si="1"/>
        <v/>
      </c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 t="str">
        <f t="shared" si="1"/>
        <v/>
      </c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 t="str">
        <f t="shared" si="1"/>
        <v/>
      </c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 t="str">
        <f t="shared" si="1"/>
        <v/>
      </c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 t="str">
        <f t="shared" si="1"/>
        <v/>
      </c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 t="str">
        <f t="shared" si="1"/>
        <v/>
      </c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 t="str">
        <f t="shared" si="1"/>
        <v/>
      </c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 t="str">
        <f t="shared" si="1"/>
        <v/>
      </c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 t="str">
        <f t="shared" si="1"/>
        <v/>
      </c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 t="str">
        <f t="shared" si="1"/>
        <v/>
      </c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 t="str">
        <f t="shared" si="1"/>
        <v/>
      </c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 t="str">
        <f t="shared" si="1"/>
        <v/>
      </c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 t="str">
        <f t="shared" si="1"/>
        <v/>
      </c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 t="str">
        <f t="shared" si="1"/>
        <v/>
      </c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 t="str">
        <f t="shared" si="1"/>
        <v/>
      </c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 t="str">
        <f t="shared" si="1"/>
        <v/>
      </c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 t="str">
        <f t="shared" si="1"/>
        <v/>
      </c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 t="str">
        <f t="shared" si="1"/>
        <v/>
      </c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 t="str">
        <f t="shared" si="1"/>
        <v/>
      </c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 t="str">
        <f t="shared" si="1"/>
        <v/>
      </c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 t="str">
        <f t="shared" si="1"/>
        <v/>
      </c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 t="str">
        <f t="shared" si="1"/>
        <v/>
      </c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 t="str">
        <f t="shared" si="1"/>
        <v/>
      </c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 t="str">
        <f t="shared" si="1"/>
        <v/>
      </c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 t="str">
        <f t="shared" si="1"/>
        <v/>
      </c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 t="str">
        <f t="shared" si="1"/>
        <v/>
      </c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 t="str">
        <f t="shared" si="1"/>
        <v/>
      </c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 t="str">
        <f t="shared" si="1"/>
        <v/>
      </c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 t="str">
        <f t="shared" si="1"/>
        <v/>
      </c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 t="str">
        <f t="shared" si="1"/>
        <v/>
      </c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 t="str">
        <f t="shared" si="1"/>
        <v/>
      </c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 t="str">
        <f t="shared" si="1"/>
        <v/>
      </c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 t="str">
        <f t="shared" si="1"/>
        <v/>
      </c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 t="str">
        <f t="shared" si="1"/>
        <v/>
      </c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 t="str">
        <f t="shared" si="1"/>
        <v/>
      </c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 t="str">
        <f t="shared" si="1"/>
        <v/>
      </c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 t="str">
        <f t="shared" si="1"/>
        <v/>
      </c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 t="str">
        <f t="shared" si="1"/>
        <v/>
      </c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 t="str">
        <f t="shared" si="1"/>
        <v/>
      </c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 t="str">
        <f t="shared" si="1"/>
        <v/>
      </c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 t="str">
        <f t="shared" si="1"/>
        <v/>
      </c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 t="str">
        <f t="shared" si="1"/>
        <v/>
      </c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 t="str">
        <f t="shared" si="1"/>
        <v/>
      </c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 t="str">
        <f t="shared" si="1"/>
        <v/>
      </c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 t="str">
        <f t="shared" si="1"/>
        <v/>
      </c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 t="str">
        <f t="shared" si="1"/>
        <v/>
      </c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 t="str">
        <f t="shared" si="1"/>
        <v/>
      </c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 t="str">
        <f t="shared" si="1"/>
        <v/>
      </c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 t="str">
        <f t="shared" si="1"/>
        <v/>
      </c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 t="str">
        <f t="shared" si="1"/>
        <v/>
      </c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 t="str">
        <f t="shared" si="1"/>
        <v/>
      </c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 t="str">
        <f t="shared" si="1"/>
        <v/>
      </c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 t="str">
        <f t="shared" si="1"/>
        <v/>
      </c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 t="str">
        <f t="shared" si="1"/>
        <v/>
      </c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 t="str">
        <f t="shared" si="1"/>
        <v/>
      </c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 t="str">
        <f t="shared" si="1"/>
        <v/>
      </c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 t="str">
        <f t="shared" si="1"/>
        <v/>
      </c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 t="str">
        <f t="shared" si="1"/>
        <v/>
      </c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 t="str">
        <f t="shared" si="1"/>
        <v/>
      </c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 t="str">
        <f t="shared" si="1"/>
        <v/>
      </c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 t="str">
        <f t="shared" si="1"/>
        <v/>
      </c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 t="str">
        <f t="shared" si="1"/>
        <v/>
      </c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 t="str">
        <f t="shared" si="1"/>
        <v/>
      </c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 t="str">
        <f t="shared" si="1"/>
        <v/>
      </c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 t="str">
        <f t="shared" si="1"/>
        <v/>
      </c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 t="str">
        <f t="shared" si="1"/>
        <v/>
      </c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 t="str">
        <f t="shared" si="1"/>
        <v/>
      </c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 t="str">
        <f t="shared" si="1"/>
        <v/>
      </c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 t="str">
        <f t="shared" si="1"/>
        <v/>
      </c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 t="str">
        <f t="shared" si="1"/>
        <v/>
      </c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 t="str">
        <f t="shared" si="1"/>
        <v/>
      </c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 t="str">
        <f t="shared" si="1"/>
        <v/>
      </c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 t="str">
        <f t="shared" si="1"/>
        <v/>
      </c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 t="str">
        <f t="shared" si="1"/>
        <v/>
      </c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 t="str">
        <f t="shared" si="1"/>
        <v/>
      </c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 t="str">
        <f t="shared" si="1"/>
        <v/>
      </c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 t="str">
        <f t="shared" si="1"/>
        <v/>
      </c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 t="str">
        <f t="shared" si="1"/>
        <v/>
      </c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 t="str">
        <f t="shared" si="1"/>
        <v/>
      </c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 t="str">
        <f t="shared" si="1"/>
        <v/>
      </c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 t="str">
        <f t="shared" si="1"/>
        <v/>
      </c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 t="str">
        <f t="shared" si="1"/>
        <v/>
      </c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 t="str">
        <f t="shared" si="1"/>
        <v/>
      </c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 t="str">
        <f t="shared" si="1"/>
        <v/>
      </c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 t="str">
        <f t="shared" si="1"/>
        <v/>
      </c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 t="str">
        <f t="shared" si="1"/>
        <v/>
      </c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 t="str">
        <f t="shared" si="1"/>
        <v/>
      </c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 t="str">
        <f t="shared" si="1"/>
        <v/>
      </c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 t="str">
        <f t="shared" si="1"/>
        <v/>
      </c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 t="str">
        <f t="shared" si="1"/>
        <v/>
      </c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 t="str">
        <f t="shared" si="1"/>
        <v/>
      </c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 t="str">
        <f t="shared" si="1"/>
        <v/>
      </c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 t="str">
        <f t="shared" si="1"/>
        <v/>
      </c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 t="str">
        <f t="shared" si="1"/>
        <v/>
      </c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 t="str">
        <f t="shared" si="1"/>
        <v/>
      </c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 t="str">
        <f t="shared" si="1"/>
        <v/>
      </c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 t="str">
        <f t="shared" si="1"/>
        <v/>
      </c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 t="str">
        <f t="shared" si="1"/>
        <v/>
      </c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 t="str">
        <f t="shared" si="1"/>
        <v/>
      </c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 t="str">
        <f t="shared" si="1"/>
        <v/>
      </c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 t="str">
        <f t="shared" si="1"/>
        <v/>
      </c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 t="str">
        <f t="shared" si="1"/>
        <v/>
      </c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 t="str">
        <f t="shared" si="1"/>
        <v/>
      </c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 t="str">
        <f t="shared" si="1"/>
        <v/>
      </c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 t="str">
        <f t="shared" si="1"/>
        <v/>
      </c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 t="str">
        <f t="shared" si="1"/>
        <v/>
      </c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 t="str">
        <f t="shared" si="1"/>
        <v/>
      </c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 t="str">
        <f t="shared" si="1"/>
        <v/>
      </c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 t="str">
        <f t="shared" si="1"/>
        <v/>
      </c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 t="str">
        <f t="shared" si="1"/>
        <v/>
      </c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 t="str">
        <f t="shared" si="1"/>
        <v/>
      </c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 t="str">
        <f t="shared" si="1"/>
        <v/>
      </c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 t="str">
        <f t="shared" si="1"/>
        <v/>
      </c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 t="str">
        <f t="shared" si="1"/>
        <v/>
      </c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 t="str">
        <f t="shared" si="1"/>
        <v/>
      </c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 t="str">
        <f t="shared" si="1"/>
        <v/>
      </c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 t="str">
        <f t="shared" si="1"/>
        <v/>
      </c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 t="str">
        <f t="shared" si="1"/>
        <v/>
      </c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 t="str">
        <f t="shared" si="1"/>
        <v/>
      </c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 t="str">
        <f t="shared" si="1"/>
        <v/>
      </c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 t="str">
        <f t="shared" si="1"/>
        <v/>
      </c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 t="str">
        <f t="shared" si="1"/>
        <v/>
      </c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 t="str">
        <f t="shared" si="1"/>
        <v/>
      </c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 t="str">
        <f t="shared" si="1"/>
        <v/>
      </c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 t="str">
        <f t="shared" si="1"/>
        <v/>
      </c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 t="str">
        <f t="shared" si="1"/>
        <v/>
      </c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 t="str">
        <f t="shared" si="1"/>
        <v/>
      </c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 t="str">
        <f t="shared" si="1"/>
        <v/>
      </c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 t="str">
        <f t="shared" si="1"/>
        <v/>
      </c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 t="str">
        <f t="shared" si="1"/>
        <v/>
      </c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 t="str">
        <f t="shared" si="1"/>
        <v/>
      </c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 t="str">
        <f t="shared" si="1"/>
        <v/>
      </c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 t="str">
        <f t="shared" si="1"/>
        <v/>
      </c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 t="str">
        <f t="shared" si="1"/>
        <v/>
      </c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 t="str">
        <f t="shared" si="1"/>
        <v/>
      </c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 t="str">
        <f t="shared" si="1"/>
        <v/>
      </c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 t="str">
        <f t="shared" si="1"/>
        <v/>
      </c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 t="str">
        <f t="shared" si="1"/>
        <v/>
      </c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 t="str">
        <f t="shared" si="1"/>
        <v/>
      </c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 t="str">
        <f t="shared" si="1"/>
        <v/>
      </c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 t="str">
        <f t="shared" si="1"/>
        <v/>
      </c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 t="str">
        <f t="shared" si="1"/>
        <v/>
      </c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 t="str">
        <f t="shared" si="1"/>
        <v/>
      </c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 t="str">
        <f t="shared" si="1"/>
        <v/>
      </c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 t="str">
        <f t="shared" si="1"/>
        <v/>
      </c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 t="str">
        <f t="shared" si="1"/>
        <v/>
      </c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 t="str">
        <f t="shared" si="1"/>
        <v/>
      </c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 t="str">
        <f t="shared" si="1"/>
        <v/>
      </c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 t="str">
        <f t="shared" si="1"/>
        <v/>
      </c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 t="str">
        <f t="shared" si="1"/>
        <v/>
      </c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 t="str">
        <f t="shared" si="1"/>
        <v/>
      </c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 t="str">
        <f t="shared" si="1"/>
        <v/>
      </c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 t="str">
        <f t="shared" si="1"/>
        <v/>
      </c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 t="str">
        <f t="shared" si="1"/>
        <v/>
      </c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 t="str">
        <f t="shared" si="1"/>
        <v/>
      </c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 t="str">
        <f t="shared" si="1"/>
        <v/>
      </c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 t="str">
        <f t="shared" si="1"/>
        <v/>
      </c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 t="str">
        <f t="shared" si="1"/>
        <v/>
      </c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 t="str">
        <f t="shared" si="1"/>
        <v/>
      </c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 t="str">
        <f t="shared" si="1"/>
        <v/>
      </c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 t="str">
        <f t="shared" si="1"/>
        <v/>
      </c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 t="str">
        <f t="shared" si="1"/>
        <v/>
      </c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 t="str">
        <f t="shared" si="1"/>
        <v/>
      </c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 t="str">
        <f t="shared" si="1"/>
        <v/>
      </c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 t="str">
        <f t="shared" si="1"/>
        <v/>
      </c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 t="str">
        <f t="shared" si="1"/>
        <v/>
      </c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 t="str">
        <f t="shared" si="1"/>
        <v/>
      </c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 t="str">
        <f t="shared" si="1"/>
        <v/>
      </c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 t="str">
        <f t="shared" si="1"/>
        <v/>
      </c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 t="str">
        <f t="shared" si="1"/>
        <v/>
      </c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 t="str">
        <f t="shared" si="1"/>
        <v/>
      </c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 t="str">
        <f t="shared" si="1"/>
        <v/>
      </c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 t="str">
        <f t="shared" si="1"/>
        <v/>
      </c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 t="str">
        <f t="shared" si="1"/>
        <v/>
      </c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 t="str">
        <f t="shared" si="1"/>
        <v/>
      </c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 t="str">
        <f t="shared" si="1"/>
        <v/>
      </c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 t="str">
        <f t="shared" si="1"/>
        <v/>
      </c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 t="str">
        <f t="shared" si="1"/>
        <v/>
      </c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 t="str">
        <f t="shared" si="1"/>
        <v/>
      </c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 t="str">
        <f t="shared" si="1"/>
        <v/>
      </c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 t="str">
        <f t="shared" si="1"/>
        <v/>
      </c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 t="str">
        <f t="shared" si="1"/>
        <v/>
      </c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 t="str">
        <f t="shared" si="1"/>
        <v/>
      </c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 t="str">
        <f t="shared" si="1"/>
        <v/>
      </c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 t="str">
        <f t="shared" si="1"/>
        <v/>
      </c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 t="str">
        <f t="shared" si="1"/>
        <v/>
      </c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 t="str">
        <f t="shared" si="1"/>
        <v/>
      </c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 t="str">
        <f t="shared" si="1"/>
        <v/>
      </c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 t="str">
        <f t="shared" si="1"/>
        <v/>
      </c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 t="str">
        <f t="shared" si="1"/>
        <v/>
      </c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 t="str">
        <f t="shared" si="1"/>
        <v/>
      </c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 t="str">
        <f t="shared" si="1"/>
        <v/>
      </c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 t="str">
        <f t="shared" si="1"/>
        <v/>
      </c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 t="str">
        <f t="shared" si="1"/>
        <v/>
      </c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 t="str">
        <f t="shared" si="1"/>
        <v/>
      </c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 t="str">
        <f t="shared" si="1"/>
        <v/>
      </c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 t="str">
        <f t="shared" si="1"/>
        <v/>
      </c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 t="str">
        <f t="shared" si="1"/>
        <v/>
      </c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 t="str">
        <f t="shared" si="1"/>
        <v/>
      </c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 t="str">
        <f t="shared" si="1"/>
        <v/>
      </c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 t="str">
        <f t="shared" si="1"/>
        <v/>
      </c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 t="str">
        <f t="shared" si="1"/>
        <v/>
      </c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 t="str">
        <f t="shared" si="1"/>
        <v/>
      </c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 t="str">
        <f t="shared" si="1"/>
        <v/>
      </c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 t="str">
        <f t="shared" si="1"/>
        <v/>
      </c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 t="str">
        <f t="shared" si="1"/>
        <v/>
      </c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 t="str">
        <f t="shared" si="1"/>
        <v/>
      </c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 t="str">
        <f t="shared" si="1"/>
        <v/>
      </c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 t="str">
        <f t="shared" si="1"/>
        <v/>
      </c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 t="str">
        <f t="shared" si="1"/>
        <v/>
      </c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 t="str">
        <f t="shared" si="1"/>
        <v/>
      </c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 t="str">
        <f t="shared" si="1"/>
        <v/>
      </c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 t="str">
        <f t="shared" si="1"/>
        <v/>
      </c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 t="str">
        <f t="shared" si="1"/>
        <v/>
      </c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 t="str">
        <f t="shared" si="1"/>
        <v/>
      </c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 t="str">
        <f t="shared" si="1"/>
        <v/>
      </c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 t="str">
        <f t="shared" si="1"/>
        <v/>
      </c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 t="str">
        <f t="shared" si="1"/>
        <v/>
      </c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 t="str">
        <f t="shared" si="1"/>
        <v/>
      </c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 t="str">
        <f t="shared" si="1"/>
        <v/>
      </c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 t="str">
        <f t="shared" si="1"/>
        <v/>
      </c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 t="str">
        <f t="shared" si="1"/>
        <v/>
      </c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 t="str">
        <f t="shared" si="1"/>
        <v/>
      </c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 t="str">
        <f t="shared" si="1"/>
        <v/>
      </c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 t="str">
        <f t="shared" si="1"/>
        <v/>
      </c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 t="str">
        <f t="shared" si="1"/>
        <v/>
      </c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 t="str">
        <f t="shared" si="1"/>
        <v/>
      </c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 t="str">
        <f t="shared" si="1"/>
        <v/>
      </c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 t="str">
        <f t="shared" si="1"/>
        <v/>
      </c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 t="str">
        <f t="shared" si="1"/>
        <v/>
      </c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 t="str">
        <f t="shared" si="1"/>
        <v/>
      </c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 t="str">
        <f t="shared" si="1"/>
        <v/>
      </c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 t="str">
        <f t="shared" si="1"/>
        <v/>
      </c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 t="str">
        <f t="shared" si="1"/>
        <v/>
      </c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 t="str">
        <f t="shared" si="1"/>
        <v/>
      </c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 t="str">
        <f t="shared" si="1"/>
        <v/>
      </c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 t="str">
        <f t="shared" si="1"/>
        <v/>
      </c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 t="str">
        <f t="shared" si="1"/>
        <v/>
      </c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 t="str">
        <f t="shared" si="1"/>
        <v/>
      </c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 t="str">
        <f t="shared" si="1"/>
        <v/>
      </c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 t="str">
        <f t="shared" si="1"/>
        <v/>
      </c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 t="str">
        <f t="shared" si="1"/>
        <v/>
      </c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 t="str">
        <f t="shared" si="1"/>
        <v/>
      </c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 t="str">
        <f t="shared" si="1"/>
        <v/>
      </c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 t="str">
        <f t="shared" si="1"/>
        <v/>
      </c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 t="str">
        <f t="shared" si="1"/>
        <v/>
      </c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 t="str">
        <f t="shared" si="1"/>
        <v/>
      </c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 t="str">
        <f t="shared" si="1"/>
        <v/>
      </c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 t="str">
        <f t="shared" si="1"/>
        <v/>
      </c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 t="str">
        <f t="shared" si="1"/>
        <v/>
      </c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 t="str">
        <f t="shared" si="1"/>
        <v/>
      </c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 t="str">
        <f t="shared" si="1"/>
        <v/>
      </c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 t="str">
        <f t="shared" si="1"/>
        <v/>
      </c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 t="str">
        <f t="shared" si="1"/>
        <v/>
      </c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 t="str">
        <f t="shared" si="1"/>
        <v/>
      </c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 t="str">
        <f t="shared" si="1"/>
        <v/>
      </c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 t="str">
        <f t="shared" si="1"/>
        <v/>
      </c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 t="str">
        <f t="shared" si="1"/>
        <v/>
      </c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 t="str">
        <f t="shared" si="1"/>
        <v/>
      </c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 t="str">
        <f t="shared" si="1"/>
        <v/>
      </c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 t="str">
        <f t="shared" si="1"/>
        <v/>
      </c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 t="str">
        <f t="shared" si="1"/>
        <v/>
      </c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 t="str">
        <f t="shared" si="1"/>
        <v/>
      </c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 t="str">
        <f t="shared" si="1"/>
        <v/>
      </c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 t="str">
        <f t="shared" si="1"/>
        <v/>
      </c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 t="str">
        <f t="shared" si="1"/>
        <v/>
      </c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 t="str">
        <f t="shared" si="1"/>
        <v/>
      </c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 t="str">
        <f t="shared" si="1"/>
        <v/>
      </c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 t="str">
        <f t="shared" si="1"/>
        <v/>
      </c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 t="str">
        <f t="shared" si="1"/>
        <v/>
      </c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 t="str">
        <f t="shared" si="1"/>
        <v/>
      </c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 t="str">
        <f t="shared" si="1"/>
        <v/>
      </c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 t="str">
        <f t="shared" si="1"/>
        <v/>
      </c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 t="str">
        <f t="shared" si="1"/>
        <v/>
      </c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 t="str">
        <f t="shared" si="1"/>
        <v/>
      </c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 t="str">
        <f t="shared" si="1"/>
        <v/>
      </c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 t="str">
        <f t="shared" si="1"/>
        <v/>
      </c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 t="str">
        <f t="shared" si="1"/>
        <v/>
      </c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 t="str">
        <f t="shared" si="1"/>
        <v/>
      </c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 t="str">
        <f t="shared" si="1"/>
        <v/>
      </c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 t="str">
        <f t="shared" si="1"/>
        <v/>
      </c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 t="str">
        <f t="shared" si="1"/>
        <v/>
      </c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 t="str">
        <f t="shared" si="1"/>
        <v/>
      </c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 t="str">
        <f t="shared" si="1"/>
        <v/>
      </c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 t="str">
        <f t="shared" si="1"/>
        <v/>
      </c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 t="str">
        <f t="shared" si="1"/>
        <v/>
      </c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 t="str">
        <f t="shared" si="1"/>
        <v/>
      </c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 t="str">
        <f t="shared" si="1"/>
        <v/>
      </c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 t="str">
        <f t="shared" si="1"/>
        <v/>
      </c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 t="str">
        <f t="shared" si="1"/>
        <v/>
      </c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 t="str">
        <f t="shared" si="1"/>
        <v/>
      </c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 t="str">
        <f t="shared" si="1"/>
        <v/>
      </c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 t="str">
        <f t="shared" si="1"/>
        <v/>
      </c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 t="str">
        <f t="shared" si="1"/>
        <v/>
      </c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 t="str">
        <f t="shared" si="1"/>
        <v/>
      </c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 t="str">
        <f t="shared" si="1"/>
        <v/>
      </c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 t="str">
        <f t="shared" si="1"/>
        <v/>
      </c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 t="str">
        <f t="shared" si="1"/>
        <v/>
      </c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 t="str">
        <f t="shared" si="1"/>
        <v/>
      </c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 t="str">
        <f t="shared" si="1"/>
        <v/>
      </c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 t="str">
        <f t="shared" si="1"/>
        <v/>
      </c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 t="str">
        <f t="shared" si="1"/>
        <v/>
      </c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 t="str">
        <f t="shared" si="1"/>
        <v/>
      </c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 t="str">
        <f t="shared" si="1"/>
        <v/>
      </c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 t="str">
        <f t="shared" si="1"/>
        <v/>
      </c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 t="str">
        <f t="shared" si="1"/>
        <v/>
      </c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 t="str">
        <f t="shared" si="1"/>
        <v/>
      </c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 t="str">
        <f t="shared" si="1"/>
        <v/>
      </c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 t="str">
        <f t="shared" si="1"/>
        <v/>
      </c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 t="str">
        <f t="shared" si="1"/>
        <v/>
      </c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 t="str">
        <f t="shared" si="1"/>
        <v/>
      </c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 t="str">
        <f t="shared" si="1"/>
        <v/>
      </c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 t="str">
        <f t="shared" si="1"/>
        <v/>
      </c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 t="str">
        <f t="shared" si="1"/>
        <v/>
      </c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 t="str">
        <f t="shared" si="1"/>
        <v/>
      </c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 t="str">
        <f t="shared" si="1"/>
        <v/>
      </c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 t="str">
        <f t="shared" si="1"/>
        <v/>
      </c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 t="str">
        <f t="shared" si="1"/>
        <v/>
      </c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 t="str">
        <f t="shared" si="1"/>
        <v/>
      </c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 t="str">
        <f t="shared" si="1"/>
        <v/>
      </c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 t="str">
        <f t="shared" si="1"/>
        <v/>
      </c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 t="str">
        <f t="shared" si="1"/>
        <v/>
      </c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 t="str">
        <f t="shared" si="1"/>
        <v/>
      </c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 t="str">
        <f t="shared" si="1"/>
        <v/>
      </c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 t="str">
        <f t="shared" si="1"/>
        <v/>
      </c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 t="str">
        <f t="shared" si="1"/>
        <v/>
      </c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 t="s">
        <v>55</v>
      </c>
      <c r="B504" s="4" t="s">
        <v>56</v>
      </c>
      <c r="C504" s="4"/>
      <c r="D504" s="4"/>
      <c r="E504" s="4"/>
      <c r="F504" s="4"/>
      <c r="G504" s="4"/>
      <c r="H504" s="4"/>
      <c r="I504" s="4"/>
    </row>
  </sheetData>
  <autoFilter ref="$A$1:$I$50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2.0"/>
    <col customWidth="1" min="4" max="7" width="18.0"/>
    <col customWidth="1" min="8" max="8" width="16.0"/>
    <col customWidth="1" min="9" max="11" width="8.71"/>
  </cols>
  <sheetData>
    <row r="1">
      <c r="A1" s="5" t="s">
        <v>29</v>
      </c>
      <c r="B1" s="5" t="s">
        <v>28</v>
      </c>
      <c r="C1" s="5" t="s">
        <v>31</v>
      </c>
      <c r="D1" s="5" t="s">
        <v>57</v>
      </c>
      <c r="E1" s="5" t="s">
        <v>58</v>
      </c>
      <c r="F1" s="5" t="s">
        <v>59</v>
      </c>
      <c r="G1" s="5" t="s">
        <v>40</v>
      </c>
      <c r="H1" s="5" t="s">
        <v>60</v>
      </c>
    </row>
    <row r="2">
      <c r="A2" s="4"/>
      <c r="B2" s="4"/>
      <c r="C2" s="4"/>
      <c r="D2" s="4" t="str">
        <f>IF(A2="","",SUMIF(Anbar_Idxal!G:G,A2,Anbar_Idxal!H:H))</f>
        <v/>
      </c>
      <c r="E2" s="4" t="str">
        <f>IF(A2="","",SUMIF(Satislar!E:E,A2,Satislar!G:G))</f>
        <v/>
      </c>
      <c r="F2" s="4" t="str">
        <f t="shared" ref="F2:F501" si="1">IF(A2="","",D2-E2)</f>
        <v/>
      </c>
      <c r="G2" s="4" t="str">
        <f>IFERROR(VLOOKUP(A2,Mehsullar!A:F,6,FALSE),"")</f>
        <v/>
      </c>
      <c r="H2" s="4" t="str">
        <f t="shared" ref="H2:H501" si="2">IF(A2="","",IF(F2&lt;=G2,"AZ STOK","NORMAL"))</f>
        <v/>
      </c>
    </row>
    <row r="3">
      <c r="A3" s="4"/>
      <c r="B3" s="4"/>
      <c r="C3" s="4"/>
      <c r="D3" s="4" t="str">
        <f>IF(A3="","",SUMIF(Anbar_Idxal!G:G,A3,Anbar_Idxal!H:H))</f>
        <v/>
      </c>
      <c r="E3" s="4" t="str">
        <f>IF(A3="","",SUMIF(Satislar!E:E,A3,Satislar!G:G))</f>
        <v/>
      </c>
      <c r="F3" s="4" t="str">
        <f t="shared" si="1"/>
        <v/>
      </c>
      <c r="G3" s="4" t="str">
        <f>IFERROR(VLOOKUP(A3,Mehsullar!A:F,6,FALSE),"")</f>
        <v/>
      </c>
      <c r="H3" s="4" t="str">
        <f t="shared" si="2"/>
        <v/>
      </c>
    </row>
    <row r="4">
      <c r="A4" s="4"/>
      <c r="B4" s="4"/>
      <c r="C4" s="4"/>
      <c r="D4" s="4" t="str">
        <f>IF(A4="","",SUMIF(Anbar_Idxal!G:G,A4,Anbar_Idxal!H:H))</f>
        <v/>
      </c>
      <c r="E4" s="4" t="str">
        <f>IF(A4="","",SUMIF(Satislar!E:E,A4,Satislar!G:G))</f>
        <v/>
      </c>
      <c r="F4" s="4" t="str">
        <f t="shared" si="1"/>
        <v/>
      </c>
      <c r="G4" s="4" t="str">
        <f>IFERROR(VLOOKUP(A4,Mehsullar!A:F,6,FALSE),"")</f>
        <v/>
      </c>
      <c r="H4" s="4" t="str">
        <f t="shared" si="2"/>
        <v/>
      </c>
    </row>
    <row r="5">
      <c r="A5" s="4"/>
      <c r="B5" s="4"/>
      <c r="C5" s="4"/>
      <c r="D5" s="4" t="str">
        <f>IF(A5="","",SUMIF(Anbar_Idxal!G:G,A5,Anbar_Idxal!H:H))</f>
        <v/>
      </c>
      <c r="E5" s="4" t="str">
        <f>IF(A5="","",SUMIF(Satislar!E:E,A5,Satislar!G:G))</f>
        <v/>
      </c>
      <c r="F5" s="4" t="str">
        <f t="shared" si="1"/>
        <v/>
      </c>
      <c r="G5" s="4" t="str">
        <f>IFERROR(VLOOKUP(A5,Mehsullar!A:F,6,FALSE),"")</f>
        <v/>
      </c>
      <c r="H5" s="4" t="str">
        <f t="shared" si="2"/>
        <v/>
      </c>
    </row>
    <row r="6">
      <c r="A6" s="4"/>
      <c r="B6" s="4"/>
      <c r="C6" s="4"/>
      <c r="D6" s="4" t="str">
        <f>IF(A6="","",SUMIF(Anbar_Idxal!G:G,A6,Anbar_Idxal!H:H))</f>
        <v/>
      </c>
      <c r="E6" s="4" t="str">
        <f>IF(A6="","",SUMIF(Satislar!E:E,A6,Satislar!G:G))</f>
        <v/>
      </c>
      <c r="F6" s="4" t="str">
        <f t="shared" si="1"/>
        <v/>
      </c>
      <c r="G6" s="4" t="str">
        <f>IFERROR(VLOOKUP(A6,Mehsullar!A:F,6,FALSE),"")</f>
        <v/>
      </c>
      <c r="H6" s="4" t="str">
        <f t="shared" si="2"/>
        <v/>
      </c>
    </row>
    <row r="7">
      <c r="A7" s="4"/>
      <c r="B7" s="4"/>
      <c r="C7" s="4"/>
      <c r="D7" s="4" t="str">
        <f>IF(A7="","",SUMIF(Anbar_Idxal!G:G,A7,Anbar_Idxal!H:H))</f>
        <v/>
      </c>
      <c r="E7" s="4" t="str">
        <f>IF(A7="","",SUMIF(Satislar!E:E,A7,Satislar!G:G))</f>
        <v/>
      </c>
      <c r="F7" s="4" t="str">
        <f t="shared" si="1"/>
        <v/>
      </c>
      <c r="G7" s="4" t="str">
        <f>IFERROR(VLOOKUP(A7,Mehsullar!A:F,6,FALSE),"")</f>
        <v/>
      </c>
      <c r="H7" s="4" t="str">
        <f t="shared" si="2"/>
        <v/>
      </c>
    </row>
    <row r="8">
      <c r="A8" s="4"/>
      <c r="B8" s="4"/>
      <c r="C8" s="4"/>
      <c r="D8" s="4" t="str">
        <f>IF(A8="","",SUMIF(Anbar_Idxal!G:G,A8,Anbar_Idxal!H:H))</f>
        <v/>
      </c>
      <c r="E8" s="4" t="str">
        <f>IF(A8="","",SUMIF(Satislar!E:E,A8,Satislar!G:G))</f>
        <v/>
      </c>
      <c r="F8" s="4" t="str">
        <f t="shared" si="1"/>
        <v/>
      </c>
      <c r="G8" s="4" t="str">
        <f>IFERROR(VLOOKUP(A8,Mehsullar!A:F,6,FALSE),"")</f>
        <v/>
      </c>
      <c r="H8" s="4" t="str">
        <f t="shared" si="2"/>
        <v/>
      </c>
    </row>
    <row r="9">
      <c r="A9" s="4"/>
      <c r="B9" s="4"/>
      <c r="C9" s="4"/>
      <c r="D9" s="4" t="str">
        <f>IF(A9="","",SUMIF(Anbar_Idxal!G:G,A9,Anbar_Idxal!H:H))</f>
        <v/>
      </c>
      <c r="E9" s="4" t="str">
        <f>IF(A9="","",SUMIF(Satislar!E:E,A9,Satislar!G:G))</f>
        <v/>
      </c>
      <c r="F9" s="4" t="str">
        <f t="shared" si="1"/>
        <v/>
      </c>
      <c r="G9" s="4" t="str">
        <f>IFERROR(VLOOKUP(A9,Mehsullar!A:F,6,FALSE),"")</f>
        <v/>
      </c>
      <c r="H9" s="4" t="str">
        <f t="shared" si="2"/>
        <v/>
      </c>
    </row>
    <row r="10">
      <c r="A10" s="4"/>
      <c r="B10" s="4"/>
      <c r="C10" s="4"/>
      <c r="D10" s="4" t="str">
        <f>IF(A10="","",SUMIF(Anbar_Idxal!G:G,A10,Anbar_Idxal!H:H))</f>
        <v/>
      </c>
      <c r="E10" s="4" t="str">
        <f>IF(A10="","",SUMIF(Satislar!E:E,A10,Satislar!G:G))</f>
        <v/>
      </c>
      <c r="F10" s="4" t="str">
        <f t="shared" si="1"/>
        <v/>
      </c>
      <c r="G10" s="4" t="str">
        <f>IFERROR(VLOOKUP(A10,Mehsullar!A:F,6,FALSE),"")</f>
        <v/>
      </c>
      <c r="H10" s="4" t="str">
        <f t="shared" si="2"/>
        <v/>
      </c>
    </row>
    <row r="11">
      <c r="A11" s="4"/>
      <c r="B11" s="4"/>
      <c r="C11" s="4"/>
      <c r="D11" s="4" t="str">
        <f>IF(A11="","",SUMIF(Anbar_Idxal!G:G,A11,Anbar_Idxal!H:H))</f>
        <v/>
      </c>
      <c r="E11" s="4" t="str">
        <f>IF(A11="","",SUMIF(Satislar!E:E,A11,Satislar!G:G))</f>
        <v/>
      </c>
      <c r="F11" s="4" t="str">
        <f t="shared" si="1"/>
        <v/>
      </c>
      <c r="G11" s="4" t="str">
        <f>IFERROR(VLOOKUP(A11,Mehsullar!A:F,6,FALSE),"")</f>
        <v/>
      </c>
      <c r="H11" s="4" t="str">
        <f t="shared" si="2"/>
        <v/>
      </c>
    </row>
    <row r="12">
      <c r="A12" s="4"/>
      <c r="B12" s="4"/>
      <c r="C12" s="4"/>
      <c r="D12" s="4" t="str">
        <f>IF(A12="","",SUMIF(Anbar_Idxal!G:G,A12,Anbar_Idxal!H:H))</f>
        <v/>
      </c>
      <c r="E12" s="4" t="str">
        <f>IF(A12="","",SUMIF(Satislar!E:E,A12,Satislar!G:G))</f>
        <v/>
      </c>
      <c r="F12" s="4" t="str">
        <f t="shared" si="1"/>
        <v/>
      </c>
      <c r="G12" s="4" t="str">
        <f>IFERROR(VLOOKUP(A12,Mehsullar!A:F,6,FALSE),"")</f>
        <v/>
      </c>
      <c r="H12" s="4" t="str">
        <f t="shared" si="2"/>
        <v/>
      </c>
    </row>
    <row r="13">
      <c r="A13" s="4"/>
      <c r="B13" s="4"/>
      <c r="C13" s="4"/>
      <c r="D13" s="4" t="str">
        <f>IF(A13="","",SUMIF(Anbar_Idxal!G:G,A13,Anbar_Idxal!H:H))</f>
        <v/>
      </c>
      <c r="E13" s="4" t="str">
        <f>IF(A13="","",SUMIF(Satislar!E:E,A13,Satislar!G:G))</f>
        <v/>
      </c>
      <c r="F13" s="4" t="str">
        <f t="shared" si="1"/>
        <v/>
      </c>
      <c r="G13" s="4" t="str">
        <f>IFERROR(VLOOKUP(A13,Mehsullar!A:F,6,FALSE),"")</f>
        <v/>
      </c>
      <c r="H13" s="4" t="str">
        <f t="shared" si="2"/>
        <v/>
      </c>
    </row>
    <row r="14">
      <c r="A14" s="4"/>
      <c r="B14" s="4"/>
      <c r="C14" s="4"/>
      <c r="D14" s="4" t="str">
        <f>IF(A14="","",SUMIF(Anbar_Idxal!G:G,A14,Anbar_Idxal!H:H))</f>
        <v/>
      </c>
      <c r="E14" s="4" t="str">
        <f>IF(A14="","",SUMIF(Satislar!E:E,A14,Satislar!G:G))</f>
        <v/>
      </c>
      <c r="F14" s="4" t="str">
        <f t="shared" si="1"/>
        <v/>
      </c>
      <c r="G14" s="4" t="str">
        <f>IFERROR(VLOOKUP(A14,Mehsullar!A:F,6,FALSE),"")</f>
        <v/>
      </c>
      <c r="H14" s="4" t="str">
        <f t="shared" si="2"/>
        <v/>
      </c>
    </row>
    <row r="15">
      <c r="A15" s="4"/>
      <c r="B15" s="4"/>
      <c r="C15" s="4"/>
      <c r="D15" s="4" t="str">
        <f>IF(A15="","",SUMIF(Anbar_Idxal!G:G,A15,Anbar_Idxal!H:H))</f>
        <v/>
      </c>
      <c r="E15" s="4" t="str">
        <f>IF(A15="","",SUMIF(Satislar!E:E,A15,Satislar!G:G))</f>
        <v/>
      </c>
      <c r="F15" s="4" t="str">
        <f t="shared" si="1"/>
        <v/>
      </c>
      <c r="G15" s="4" t="str">
        <f>IFERROR(VLOOKUP(A15,Mehsullar!A:F,6,FALSE),"")</f>
        <v/>
      </c>
      <c r="H15" s="4" t="str">
        <f t="shared" si="2"/>
        <v/>
      </c>
    </row>
    <row r="16">
      <c r="A16" s="4"/>
      <c r="B16" s="4"/>
      <c r="C16" s="4"/>
      <c r="D16" s="4" t="str">
        <f>IF(A16="","",SUMIF(Anbar_Idxal!G:G,A16,Anbar_Idxal!H:H))</f>
        <v/>
      </c>
      <c r="E16" s="4" t="str">
        <f>IF(A16="","",SUMIF(Satislar!E:E,A16,Satislar!G:G))</f>
        <v/>
      </c>
      <c r="F16" s="4" t="str">
        <f t="shared" si="1"/>
        <v/>
      </c>
      <c r="G16" s="4" t="str">
        <f>IFERROR(VLOOKUP(A16,Mehsullar!A:F,6,FALSE),"")</f>
        <v/>
      </c>
      <c r="H16" s="4" t="str">
        <f t="shared" si="2"/>
        <v/>
      </c>
    </row>
    <row r="17">
      <c r="A17" s="4"/>
      <c r="B17" s="4"/>
      <c r="C17" s="4"/>
      <c r="D17" s="4" t="str">
        <f>IF(A17="","",SUMIF(Anbar_Idxal!G:G,A17,Anbar_Idxal!H:H))</f>
        <v/>
      </c>
      <c r="E17" s="4" t="str">
        <f>IF(A17="","",SUMIF(Satislar!E:E,A17,Satislar!G:G))</f>
        <v/>
      </c>
      <c r="F17" s="4" t="str">
        <f t="shared" si="1"/>
        <v/>
      </c>
      <c r="G17" s="4" t="str">
        <f>IFERROR(VLOOKUP(A17,Mehsullar!A:F,6,FALSE),"")</f>
        <v/>
      </c>
      <c r="H17" s="4" t="str">
        <f t="shared" si="2"/>
        <v/>
      </c>
    </row>
    <row r="18">
      <c r="A18" s="4"/>
      <c r="B18" s="4"/>
      <c r="C18" s="4"/>
      <c r="D18" s="4" t="str">
        <f>IF(A18="","",SUMIF(Anbar_Idxal!G:G,A18,Anbar_Idxal!H:H))</f>
        <v/>
      </c>
      <c r="E18" s="4" t="str">
        <f>IF(A18="","",SUMIF(Satislar!E:E,A18,Satislar!G:G))</f>
        <v/>
      </c>
      <c r="F18" s="4" t="str">
        <f t="shared" si="1"/>
        <v/>
      </c>
      <c r="G18" s="4" t="str">
        <f>IFERROR(VLOOKUP(A18,Mehsullar!A:F,6,FALSE),"")</f>
        <v/>
      </c>
      <c r="H18" s="4" t="str">
        <f t="shared" si="2"/>
        <v/>
      </c>
    </row>
    <row r="19">
      <c r="A19" s="4"/>
      <c r="B19" s="4"/>
      <c r="C19" s="4"/>
      <c r="D19" s="4" t="str">
        <f>IF(A19="","",SUMIF(Anbar_Idxal!G:G,A19,Anbar_Idxal!H:H))</f>
        <v/>
      </c>
      <c r="E19" s="4" t="str">
        <f>IF(A19="","",SUMIF(Satislar!E:E,A19,Satislar!G:G))</f>
        <v/>
      </c>
      <c r="F19" s="4" t="str">
        <f t="shared" si="1"/>
        <v/>
      </c>
      <c r="G19" s="4" t="str">
        <f>IFERROR(VLOOKUP(A19,Mehsullar!A:F,6,FALSE),"")</f>
        <v/>
      </c>
      <c r="H19" s="4" t="str">
        <f t="shared" si="2"/>
        <v/>
      </c>
    </row>
    <row r="20">
      <c r="A20" s="4"/>
      <c r="B20" s="4"/>
      <c r="C20" s="4"/>
      <c r="D20" s="4" t="str">
        <f>IF(A20="","",SUMIF(Anbar_Idxal!G:G,A20,Anbar_Idxal!H:H))</f>
        <v/>
      </c>
      <c r="E20" s="4" t="str">
        <f>IF(A20="","",SUMIF(Satislar!E:E,A20,Satislar!G:G))</f>
        <v/>
      </c>
      <c r="F20" s="4" t="str">
        <f t="shared" si="1"/>
        <v/>
      </c>
      <c r="G20" s="4" t="str">
        <f>IFERROR(VLOOKUP(A20,Mehsullar!A:F,6,FALSE),"")</f>
        <v/>
      </c>
      <c r="H20" s="4" t="str">
        <f t="shared" si="2"/>
        <v/>
      </c>
    </row>
    <row r="21" ht="15.75" customHeight="1">
      <c r="A21" s="4"/>
      <c r="B21" s="4"/>
      <c r="C21" s="4"/>
      <c r="D21" s="4" t="str">
        <f>IF(A21="","",SUMIF(Anbar_Idxal!G:G,A21,Anbar_Idxal!H:H))</f>
        <v/>
      </c>
      <c r="E21" s="4" t="str">
        <f>IF(A21="","",SUMIF(Satislar!E:E,A21,Satislar!G:G))</f>
        <v/>
      </c>
      <c r="F21" s="4" t="str">
        <f t="shared" si="1"/>
        <v/>
      </c>
      <c r="G21" s="4" t="str">
        <f>IFERROR(VLOOKUP(A21,Mehsullar!A:F,6,FALSE),"")</f>
        <v/>
      </c>
      <c r="H21" s="4" t="str">
        <f t="shared" si="2"/>
        <v/>
      </c>
    </row>
    <row r="22" ht="15.75" customHeight="1">
      <c r="A22" s="4"/>
      <c r="B22" s="4"/>
      <c r="C22" s="4"/>
      <c r="D22" s="4" t="str">
        <f>IF(A22="","",SUMIF(Anbar_Idxal!G:G,A22,Anbar_Idxal!H:H))</f>
        <v/>
      </c>
      <c r="E22" s="4" t="str">
        <f>IF(A22="","",SUMIF(Satislar!E:E,A22,Satislar!G:G))</f>
        <v/>
      </c>
      <c r="F22" s="4" t="str">
        <f t="shared" si="1"/>
        <v/>
      </c>
      <c r="G22" s="4" t="str">
        <f>IFERROR(VLOOKUP(A22,Mehsullar!A:F,6,FALSE),"")</f>
        <v/>
      </c>
      <c r="H22" s="4" t="str">
        <f t="shared" si="2"/>
        <v/>
      </c>
    </row>
    <row r="23" ht="15.75" customHeight="1">
      <c r="A23" s="4"/>
      <c r="B23" s="4"/>
      <c r="C23" s="4"/>
      <c r="D23" s="4" t="str">
        <f>IF(A23="","",SUMIF(Anbar_Idxal!G:G,A23,Anbar_Idxal!H:H))</f>
        <v/>
      </c>
      <c r="E23" s="4" t="str">
        <f>IF(A23="","",SUMIF(Satislar!E:E,A23,Satislar!G:G))</f>
        <v/>
      </c>
      <c r="F23" s="4" t="str">
        <f t="shared" si="1"/>
        <v/>
      </c>
      <c r="G23" s="4" t="str">
        <f>IFERROR(VLOOKUP(A23,Mehsullar!A:F,6,FALSE),"")</f>
        <v/>
      </c>
      <c r="H23" s="4" t="str">
        <f t="shared" si="2"/>
        <v/>
      </c>
    </row>
    <row r="24" ht="15.75" customHeight="1">
      <c r="A24" s="4"/>
      <c r="B24" s="4"/>
      <c r="C24" s="4"/>
      <c r="D24" s="4" t="str">
        <f>IF(A24="","",SUMIF(Anbar_Idxal!G:G,A24,Anbar_Idxal!H:H))</f>
        <v/>
      </c>
      <c r="E24" s="4" t="str">
        <f>IF(A24="","",SUMIF(Satislar!E:E,A24,Satislar!G:G))</f>
        <v/>
      </c>
      <c r="F24" s="4" t="str">
        <f t="shared" si="1"/>
        <v/>
      </c>
      <c r="G24" s="4" t="str">
        <f>IFERROR(VLOOKUP(A24,Mehsullar!A:F,6,FALSE),"")</f>
        <v/>
      </c>
      <c r="H24" s="4" t="str">
        <f t="shared" si="2"/>
        <v/>
      </c>
    </row>
    <row r="25" ht="15.75" customHeight="1">
      <c r="A25" s="4"/>
      <c r="B25" s="4"/>
      <c r="C25" s="4"/>
      <c r="D25" s="4" t="str">
        <f>IF(A25="","",SUMIF(Anbar_Idxal!G:G,A25,Anbar_Idxal!H:H))</f>
        <v/>
      </c>
      <c r="E25" s="4" t="str">
        <f>IF(A25="","",SUMIF(Satislar!E:E,A25,Satislar!G:G))</f>
        <v/>
      </c>
      <c r="F25" s="4" t="str">
        <f t="shared" si="1"/>
        <v/>
      </c>
      <c r="G25" s="4" t="str">
        <f>IFERROR(VLOOKUP(A25,Mehsullar!A:F,6,FALSE),"")</f>
        <v/>
      </c>
      <c r="H25" s="4" t="str">
        <f t="shared" si="2"/>
        <v/>
      </c>
    </row>
    <row r="26" ht="15.75" customHeight="1">
      <c r="A26" s="4"/>
      <c r="B26" s="4"/>
      <c r="C26" s="4"/>
      <c r="D26" s="4" t="str">
        <f>IF(A26="","",SUMIF(Anbar_Idxal!G:G,A26,Anbar_Idxal!H:H))</f>
        <v/>
      </c>
      <c r="E26" s="4" t="str">
        <f>IF(A26="","",SUMIF(Satislar!E:E,A26,Satislar!G:G))</f>
        <v/>
      </c>
      <c r="F26" s="4" t="str">
        <f t="shared" si="1"/>
        <v/>
      </c>
      <c r="G26" s="4" t="str">
        <f>IFERROR(VLOOKUP(A26,Mehsullar!A:F,6,FALSE),"")</f>
        <v/>
      </c>
      <c r="H26" s="4" t="str">
        <f t="shared" si="2"/>
        <v/>
      </c>
    </row>
    <row r="27" ht="15.75" customHeight="1">
      <c r="A27" s="4"/>
      <c r="B27" s="4"/>
      <c r="C27" s="4"/>
      <c r="D27" s="4" t="str">
        <f>IF(A27="","",SUMIF(Anbar_Idxal!G:G,A27,Anbar_Idxal!H:H))</f>
        <v/>
      </c>
      <c r="E27" s="4" t="str">
        <f>IF(A27="","",SUMIF(Satislar!E:E,A27,Satislar!G:G))</f>
        <v/>
      </c>
      <c r="F27" s="4" t="str">
        <f t="shared" si="1"/>
        <v/>
      </c>
      <c r="G27" s="4" t="str">
        <f>IFERROR(VLOOKUP(A27,Mehsullar!A:F,6,FALSE),"")</f>
        <v/>
      </c>
      <c r="H27" s="4" t="str">
        <f t="shared" si="2"/>
        <v/>
      </c>
    </row>
    <row r="28" ht="15.75" customHeight="1">
      <c r="A28" s="4"/>
      <c r="B28" s="4"/>
      <c r="C28" s="4"/>
      <c r="D28" s="4" t="str">
        <f>IF(A28="","",SUMIF(Anbar_Idxal!G:G,A28,Anbar_Idxal!H:H))</f>
        <v/>
      </c>
      <c r="E28" s="4" t="str">
        <f>IF(A28="","",SUMIF(Satislar!E:E,A28,Satislar!G:G))</f>
        <v/>
      </c>
      <c r="F28" s="4" t="str">
        <f t="shared" si="1"/>
        <v/>
      </c>
      <c r="G28" s="4" t="str">
        <f>IFERROR(VLOOKUP(A28,Mehsullar!A:F,6,FALSE),"")</f>
        <v/>
      </c>
      <c r="H28" s="4" t="str">
        <f t="shared" si="2"/>
        <v/>
      </c>
    </row>
    <row r="29" ht="15.75" customHeight="1">
      <c r="A29" s="4"/>
      <c r="B29" s="4"/>
      <c r="C29" s="4"/>
      <c r="D29" s="4" t="str">
        <f>IF(A29="","",SUMIF(Anbar_Idxal!G:G,A29,Anbar_Idxal!H:H))</f>
        <v/>
      </c>
      <c r="E29" s="4" t="str">
        <f>IF(A29="","",SUMIF(Satislar!E:E,A29,Satislar!G:G))</f>
        <v/>
      </c>
      <c r="F29" s="4" t="str">
        <f t="shared" si="1"/>
        <v/>
      </c>
      <c r="G29" s="4" t="str">
        <f>IFERROR(VLOOKUP(A29,Mehsullar!A:F,6,FALSE),"")</f>
        <v/>
      </c>
      <c r="H29" s="4" t="str">
        <f t="shared" si="2"/>
        <v/>
      </c>
    </row>
    <row r="30" ht="15.75" customHeight="1">
      <c r="A30" s="4"/>
      <c r="B30" s="4"/>
      <c r="C30" s="4"/>
      <c r="D30" s="4" t="str">
        <f>IF(A30="","",SUMIF(Anbar_Idxal!G:G,A30,Anbar_Idxal!H:H))</f>
        <v/>
      </c>
      <c r="E30" s="4" t="str">
        <f>IF(A30="","",SUMIF(Satislar!E:E,A30,Satislar!G:G))</f>
        <v/>
      </c>
      <c r="F30" s="4" t="str">
        <f t="shared" si="1"/>
        <v/>
      </c>
      <c r="G30" s="4" t="str">
        <f>IFERROR(VLOOKUP(A30,Mehsullar!A:F,6,FALSE),"")</f>
        <v/>
      </c>
      <c r="H30" s="4" t="str">
        <f t="shared" si="2"/>
        <v/>
      </c>
    </row>
    <row r="31" ht="15.75" customHeight="1">
      <c r="A31" s="4"/>
      <c r="B31" s="4"/>
      <c r="C31" s="4"/>
      <c r="D31" s="4" t="str">
        <f>IF(A31="","",SUMIF(Anbar_Idxal!G:G,A31,Anbar_Idxal!H:H))</f>
        <v/>
      </c>
      <c r="E31" s="4" t="str">
        <f>IF(A31="","",SUMIF(Satislar!E:E,A31,Satislar!G:G))</f>
        <v/>
      </c>
      <c r="F31" s="4" t="str">
        <f t="shared" si="1"/>
        <v/>
      </c>
      <c r="G31" s="4" t="str">
        <f>IFERROR(VLOOKUP(A31,Mehsullar!A:F,6,FALSE),"")</f>
        <v/>
      </c>
      <c r="H31" s="4" t="str">
        <f t="shared" si="2"/>
        <v/>
      </c>
    </row>
    <row r="32" ht="15.75" customHeight="1">
      <c r="A32" s="4"/>
      <c r="B32" s="4"/>
      <c r="C32" s="4"/>
      <c r="D32" s="4" t="str">
        <f>IF(A32="","",SUMIF(Anbar_Idxal!G:G,A32,Anbar_Idxal!H:H))</f>
        <v/>
      </c>
      <c r="E32" s="4" t="str">
        <f>IF(A32="","",SUMIF(Satislar!E:E,A32,Satislar!G:G))</f>
        <v/>
      </c>
      <c r="F32" s="4" t="str">
        <f t="shared" si="1"/>
        <v/>
      </c>
      <c r="G32" s="4" t="str">
        <f>IFERROR(VLOOKUP(A32,Mehsullar!A:F,6,FALSE),"")</f>
        <v/>
      </c>
      <c r="H32" s="4" t="str">
        <f t="shared" si="2"/>
        <v/>
      </c>
    </row>
    <row r="33" ht="15.75" customHeight="1">
      <c r="A33" s="4"/>
      <c r="B33" s="4"/>
      <c r="C33" s="4"/>
      <c r="D33" s="4" t="str">
        <f>IF(A33="","",SUMIF(Anbar_Idxal!G:G,A33,Anbar_Idxal!H:H))</f>
        <v/>
      </c>
      <c r="E33" s="4" t="str">
        <f>IF(A33="","",SUMIF(Satislar!E:E,A33,Satislar!G:G))</f>
        <v/>
      </c>
      <c r="F33" s="4" t="str">
        <f t="shared" si="1"/>
        <v/>
      </c>
      <c r="G33" s="4" t="str">
        <f>IFERROR(VLOOKUP(A33,Mehsullar!A:F,6,FALSE),"")</f>
        <v/>
      </c>
      <c r="H33" s="4" t="str">
        <f t="shared" si="2"/>
        <v/>
      </c>
    </row>
    <row r="34" ht="15.75" customHeight="1">
      <c r="A34" s="4"/>
      <c r="B34" s="4"/>
      <c r="C34" s="4"/>
      <c r="D34" s="4" t="str">
        <f>IF(A34="","",SUMIF(Anbar_Idxal!G:G,A34,Anbar_Idxal!H:H))</f>
        <v/>
      </c>
      <c r="E34" s="4" t="str">
        <f>IF(A34="","",SUMIF(Satislar!E:E,A34,Satislar!G:G))</f>
        <v/>
      </c>
      <c r="F34" s="4" t="str">
        <f t="shared" si="1"/>
        <v/>
      </c>
      <c r="G34" s="4" t="str">
        <f>IFERROR(VLOOKUP(A34,Mehsullar!A:F,6,FALSE),"")</f>
        <v/>
      </c>
      <c r="H34" s="4" t="str">
        <f t="shared" si="2"/>
        <v/>
      </c>
    </row>
    <row r="35" ht="15.75" customHeight="1">
      <c r="A35" s="4"/>
      <c r="B35" s="4"/>
      <c r="C35" s="4"/>
      <c r="D35" s="4" t="str">
        <f>IF(A35="","",SUMIF(Anbar_Idxal!G:G,A35,Anbar_Idxal!H:H))</f>
        <v/>
      </c>
      <c r="E35" s="4" t="str">
        <f>IF(A35="","",SUMIF(Satislar!E:E,A35,Satislar!G:G))</f>
        <v/>
      </c>
      <c r="F35" s="4" t="str">
        <f t="shared" si="1"/>
        <v/>
      </c>
      <c r="G35" s="4" t="str">
        <f>IFERROR(VLOOKUP(A35,Mehsullar!A:F,6,FALSE),"")</f>
        <v/>
      </c>
      <c r="H35" s="4" t="str">
        <f t="shared" si="2"/>
        <v/>
      </c>
    </row>
    <row r="36" ht="15.75" customHeight="1">
      <c r="A36" s="4"/>
      <c r="B36" s="4"/>
      <c r="C36" s="4"/>
      <c r="D36" s="4" t="str">
        <f>IF(A36="","",SUMIF(Anbar_Idxal!G:G,A36,Anbar_Idxal!H:H))</f>
        <v/>
      </c>
      <c r="E36" s="4" t="str">
        <f>IF(A36="","",SUMIF(Satislar!E:E,A36,Satislar!G:G))</f>
        <v/>
      </c>
      <c r="F36" s="4" t="str">
        <f t="shared" si="1"/>
        <v/>
      </c>
      <c r="G36" s="4" t="str">
        <f>IFERROR(VLOOKUP(A36,Mehsullar!A:F,6,FALSE),"")</f>
        <v/>
      </c>
      <c r="H36" s="4" t="str">
        <f t="shared" si="2"/>
        <v/>
      </c>
    </row>
    <row r="37" ht="15.75" customHeight="1">
      <c r="A37" s="4"/>
      <c r="B37" s="4"/>
      <c r="C37" s="4"/>
      <c r="D37" s="4" t="str">
        <f>IF(A37="","",SUMIF(Anbar_Idxal!G:G,A37,Anbar_Idxal!H:H))</f>
        <v/>
      </c>
      <c r="E37" s="4" t="str">
        <f>IF(A37="","",SUMIF(Satislar!E:E,A37,Satislar!G:G))</f>
        <v/>
      </c>
      <c r="F37" s="4" t="str">
        <f t="shared" si="1"/>
        <v/>
      </c>
      <c r="G37" s="4" t="str">
        <f>IFERROR(VLOOKUP(A37,Mehsullar!A:F,6,FALSE),"")</f>
        <v/>
      </c>
      <c r="H37" s="4" t="str">
        <f t="shared" si="2"/>
        <v/>
      </c>
    </row>
    <row r="38" ht="15.75" customHeight="1">
      <c r="A38" s="4"/>
      <c r="B38" s="4"/>
      <c r="C38" s="4"/>
      <c r="D38" s="4" t="str">
        <f>IF(A38="","",SUMIF(Anbar_Idxal!G:G,A38,Anbar_Idxal!H:H))</f>
        <v/>
      </c>
      <c r="E38" s="4" t="str">
        <f>IF(A38="","",SUMIF(Satislar!E:E,A38,Satislar!G:G))</f>
        <v/>
      </c>
      <c r="F38" s="4" t="str">
        <f t="shared" si="1"/>
        <v/>
      </c>
      <c r="G38" s="4" t="str">
        <f>IFERROR(VLOOKUP(A38,Mehsullar!A:F,6,FALSE),"")</f>
        <v/>
      </c>
      <c r="H38" s="4" t="str">
        <f t="shared" si="2"/>
        <v/>
      </c>
    </row>
    <row r="39" ht="15.75" customHeight="1">
      <c r="A39" s="4"/>
      <c r="B39" s="4"/>
      <c r="C39" s="4"/>
      <c r="D39" s="4" t="str">
        <f>IF(A39="","",SUMIF(Anbar_Idxal!G:G,A39,Anbar_Idxal!H:H))</f>
        <v/>
      </c>
      <c r="E39" s="4" t="str">
        <f>IF(A39="","",SUMIF(Satislar!E:E,A39,Satislar!G:G))</f>
        <v/>
      </c>
      <c r="F39" s="4" t="str">
        <f t="shared" si="1"/>
        <v/>
      </c>
      <c r="G39" s="4" t="str">
        <f>IFERROR(VLOOKUP(A39,Mehsullar!A:F,6,FALSE),"")</f>
        <v/>
      </c>
      <c r="H39" s="4" t="str">
        <f t="shared" si="2"/>
        <v/>
      </c>
    </row>
    <row r="40" ht="15.75" customHeight="1">
      <c r="A40" s="4"/>
      <c r="B40" s="4"/>
      <c r="C40" s="4"/>
      <c r="D40" s="4" t="str">
        <f>IF(A40="","",SUMIF(Anbar_Idxal!G:G,A40,Anbar_Idxal!H:H))</f>
        <v/>
      </c>
      <c r="E40" s="4" t="str">
        <f>IF(A40="","",SUMIF(Satislar!E:E,A40,Satislar!G:G))</f>
        <v/>
      </c>
      <c r="F40" s="4" t="str">
        <f t="shared" si="1"/>
        <v/>
      </c>
      <c r="G40" s="4" t="str">
        <f>IFERROR(VLOOKUP(A40,Mehsullar!A:F,6,FALSE),"")</f>
        <v/>
      </c>
      <c r="H40" s="4" t="str">
        <f t="shared" si="2"/>
        <v/>
      </c>
    </row>
    <row r="41" ht="15.75" customHeight="1">
      <c r="A41" s="4"/>
      <c r="B41" s="4"/>
      <c r="C41" s="4"/>
      <c r="D41" s="4" t="str">
        <f>IF(A41="","",SUMIF(Anbar_Idxal!G:G,A41,Anbar_Idxal!H:H))</f>
        <v/>
      </c>
      <c r="E41" s="4" t="str">
        <f>IF(A41="","",SUMIF(Satislar!E:E,A41,Satislar!G:G))</f>
        <v/>
      </c>
      <c r="F41" s="4" t="str">
        <f t="shared" si="1"/>
        <v/>
      </c>
      <c r="G41" s="4" t="str">
        <f>IFERROR(VLOOKUP(A41,Mehsullar!A:F,6,FALSE),"")</f>
        <v/>
      </c>
      <c r="H41" s="4" t="str">
        <f t="shared" si="2"/>
        <v/>
      </c>
    </row>
    <row r="42" ht="15.75" customHeight="1">
      <c r="A42" s="4"/>
      <c r="B42" s="4"/>
      <c r="C42" s="4"/>
      <c r="D42" s="4" t="str">
        <f>IF(A42="","",SUMIF(Anbar_Idxal!G:G,A42,Anbar_Idxal!H:H))</f>
        <v/>
      </c>
      <c r="E42" s="4" t="str">
        <f>IF(A42="","",SUMIF(Satislar!E:E,A42,Satislar!G:G))</f>
        <v/>
      </c>
      <c r="F42" s="4" t="str">
        <f t="shared" si="1"/>
        <v/>
      </c>
      <c r="G42" s="4" t="str">
        <f>IFERROR(VLOOKUP(A42,Mehsullar!A:F,6,FALSE),"")</f>
        <v/>
      </c>
      <c r="H42" s="4" t="str">
        <f t="shared" si="2"/>
        <v/>
      </c>
    </row>
    <row r="43" ht="15.75" customHeight="1">
      <c r="A43" s="4"/>
      <c r="B43" s="4"/>
      <c r="C43" s="4"/>
      <c r="D43" s="4" t="str">
        <f>IF(A43="","",SUMIF(Anbar_Idxal!G:G,A43,Anbar_Idxal!H:H))</f>
        <v/>
      </c>
      <c r="E43" s="4" t="str">
        <f>IF(A43="","",SUMIF(Satislar!E:E,A43,Satislar!G:G))</f>
        <v/>
      </c>
      <c r="F43" s="4" t="str">
        <f t="shared" si="1"/>
        <v/>
      </c>
      <c r="G43" s="4" t="str">
        <f>IFERROR(VLOOKUP(A43,Mehsullar!A:F,6,FALSE),"")</f>
        <v/>
      </c>
      <c r="H43" s="4" t="str">
        <f t="shared" si="2"/>
        <v/>
      </c>
    </row>
    <row r="44" ht="15.75" customHeight="1">
      <c r="A44" s="4"/>
      <c r="B44" s="4"/>
      <c r="C44" s="4"/>
      <c r="D44" s="4" t="str">
        <f>IF(A44="","",SUMIF(Anbar_Idxal!G:G,A44,Anbar_Idxal!H:H))</f>
        <v/>
      </c>
      <c r="E44" s="4" t="str">
        <f>IF(A44="","",SUMIF(Satislar!E:E,A44,Satislar!G:G))</f>
        <v/>
      </c>
      <c r="F44" s="4" t="str">
        <f t="shared" si="1"/>
        <v/>
      </c>
      <c r="G44" s="4" t="str">
        <f>IFERROR(VLOOKUP(A44,Mehsullar!A:F,6,FALSE),"")</f>
        <v/>
      </c>
      <c r="H44" s="4" t="str">
        <f t="shared" si="2"/>
        <v/>
      </c>
    </row>
    <row r="45" ht="15.75" customHeight="1">
      <c r="A45" s="4"/>
      <c r="B45" s="4"/>
      <c r="C45" s="4"/>
      <c r="D45" s="4" t="str">
        <f>IF(A45="","",SUMIF(Anbar_Idxal!G:G,A45,Anbar_Idxal!H:H))</f>
        <v/>
      </c>
      <c r="E45" s="4" t="str">
        <f>IF(A45="","",SUMIF(Satislar!E:E,A45,Satislar!G:G))</f>
        <v/>
      </c>
      <c r="F45" s="4" t="str">
        <f t="shared" si="1"/>
        <v/>
      </c>
      <c r="G45" s="4" t="str">
        <f>IFERROR(VLOOKUP(A45,Mehsullar!A:F,6,FALSE),"")</f>
        <v/>
      </c>
      <c r="H45" s="4" t="str">
        <f t="shared" si="2"/>
        <v/>
      </c>
    </row>
    <row r="46" ht="15.75" customHeight="1">
      <c r="A46" s="4"/>
      <c r="B46" s="4"/>
      <c r="C46" s="4"/>
      <c r="D46" s="4" t="str">
        <f>IF(A46="","",SUMIF(Anbar_Idxal!G:G,A46,Anbar_Idxal!H:H))</f>
        <v/>
      </c>
      <c r="E46" s="4" t="str">
        <f>IF(A46="","",SUMIF(Satislar!E:E,A46,Satislar!G:G))</f>
        <v/>
      </c>
      <c r="F46" s="4" t="str">
        <f t="shared" si="1"/>
        <v/>
      </c>
      <c r="G46" s="4" t="str">
        <f>IFERROR(VLOOKUP(A46,Mehsullar!A:F,6,FALSE),"")</f>
        <v/>
      </c>
      <c r="H46" s="4" t="str">
        <f t="shared" si="2"/>
        <v/>
      </c>
    </row>
    <row r="47" ht="15.75" customHeight="1">
      <c r="A47" s="4"/>
      <c r="B47" s="4"/>
      <c r="C47" s="4"/>
      <c r="D47" s="4" t="str">
        <f>IF(A47="","",SUMIF(Anbar_Idxal!G:G,A47,Anbar_Idxal!H:H))</f>
        <v/>
      </c>
      <c r="E47" s="4" t="str">
        <f>IF(A47="","",SUMIF(Satislar!E:E,A47,Satislar!G:G))</f>
        <v/>
      </c>
      <c r="F47" s="4" t="str">
        <f t="shared" si="1"/>
        <v/>
      </c>
      <c r="G47" s="4" t="str">
        <f>IFERROR(VLOOKUP(A47,Mehsullar!A:F,6,FALSE),"")</f>
        <v/>
      </c>
      <c r="H47" s="4" t="str">
        <f t="shared" si="2"/>
        <v/>
      </c>
    </row>
    <row r="48" ht="15.75" customHeight="1">
      <c r="A48" s="4"/>
      <c r="B48" s="4"/>
      <c r="C48" s="4"/>
      <c r="D48" s="4" t="str">
        <f>IF(A48="","",SUMIF(Anbar_Idxal!G:G,A48,Anbar_Idxal!H:H))</f>
        <v/>
      </c>
      <c r="E48" s="4" t="str">
        <f>IF(A48="","",SUMIF(Satislar!E:E,A48,Satislar!G:G))</f>
        <v/>
      </c>
      <c r="F48" s="4" t="str">
        <f t="shared" si="1"/>
        <v/>
      </c>
      <c r="G48" s="4" t="str">
        <f>IFERROR(VLOOKUP(A48,Mehsullar!A:F,6,FALSE),"")</f>
        <v/>
      </c>
      <c r="H48" s="4" t="str">
        <f t="shared" si="2"/>
        <v/>
      </c>
    </row>
    <row r="49" ht="15.75" customHeight="1">
      <c r="A49" s="4"/>
      <c r="B49" s="4"/>
      <c r="C49" s="4"/>
      <c r="D49" s="4" t="str">
        <f>IF(A49="","",SUMIF(Anbar_Idxal!G:G,A49,Anbar_Idxal!H:H))</f>
        <v/>
      </c>
      <c r="E49" s="4" t="str">
        <f>IF(A49="","",SUMIF(Satislar!E:E,A49,Satislar!G:G))</f>
        <v/>
      </c>
      <c r="F49" s="4" t="str">
        <f t="shared" si="1"/>
        <v/>
      </c>
      <c r="G49" s="4" t="str">
        <f>IFERROR(VLOOKUP(A49,Mehsullar!A:F,6,FALSE),"")</f>
        <v/>
      </c>
      <c r="H49" s="4" t="str">
        <f t="shared" si="2"/>
        <v/>
      </c>
    </row>
    <row r="50" ht="15.75" customHeight="1">
      <c r="A50" s="4"/>
      <c r="B50" s="4"/>
      <c r="C50" s="4"/>
      <c r="D50" s="4" t="str">
        <f>IF(A50="","",SUMIF(Anbar_Idxal!G:G,A50,Anbar_Idxal!H:H))</f>
        <v/>
      </c>
      <c r="E50" s="4" t="str">
        <f>IF(A50="","",SUMIF(Satislar!E:E,A50,Satislar!G:G))</f>
        <v/>
      </c>
      <c r="F50" s="4" t="str">
        <f t="shared" si="1"/>
        <v/>
      </c>
      <c r="G50" s="4" t="str">
        <f>IFERROR(VLOOKUP(A50,Mehsullar!A:F,6,FALSE),"")</f>
        <v/>
      </c>
      <c r="H50" s="4" t="str">
        <f t="shared" si="2"/>
        <v/>
      </c>
    </row>
    <row r="51" ht="15.75" customHeight="1">
      <c r="A51" s="4"/>
      <c r="B51" s="4"/>
      <c r="C51" s="4"/>
      <c r="D51" s="4" t="str">
        <f>IF(A51="","",SUMIF(Anbar_Idxal!G:G,A51,Anbar_Idxal!H:H))</f>
        <v/>
      </c>
      <c r="E51" s="4" t="str">
        <f>IF(A51="","",SUMIF(Satislar!E:E,A51,Satislar!G:G))</f>
        <v/>
      </c>
      <c r="F51" s="4" t="str">
        <f t="shared" si="1"/>
        <v/>
      </c>
      <c r="G51" s="4" t="str">
        <f>IFERROR(VLOOKUP(A51,Mehsullar!A:F,6,FALSE),"")</f>
        <v/>
      </c>
      <c r="H51" s="4" t="str">
        <f t="shared" si="2"/>
        <v/>
      </c>
    </row>
    <row r="52" ht="15.75" customHeight="1">
      <c r="A52" s="4"/>
      <c r="B52" s="4"/>
      <c r="C52" s="4"/>
      <c r="D52" s="4" t="str">
        <f>IF(A52="","",SUMIF(Anbar_Idxal!G:G,A52,Anbar_Idxal!H:H))</f>
        <v/>
      </c>
      <c r="E52" s="4" t="str">
        <f>IF(A52="","",SUMIF(Satislar!E:E,A52,Satislar!G:G))</f>
        <v/>
      </c>
      <c r="F52" s="4" t="str">
        <f t="shared" si="1"/>
        <v/>
      </c>
      <c r="G52" s="4" t="str">
        <f>IFERROR(VLOOKUP(A52,Mehsullar!A:F,6,FALSE),"")</f>
        <v/>
      </c>
      <c r="H52" s="4" t="str">
        <f t="shared" si="2"/>
        <v/>
      </c>
    </row>
    <row r="53" ht="15.75" customHeight="1">
      <c r="A53" s="4"/>
      <c r="B53" s="4"/>
      <c r="C53" s="4"/>
      <c r="D53" s="4" t="str">
        <f>IF(A53="","",SUMIF(Anbar_Idxal!G:G,A53,Anbar_Idxal!H:H))</f>
        <v/>
      </c>
      <c r="E53" s="4" t="str">
        <f>IF(A53="","",SUMIF(Satislar!E:E,A53,Satislar!G:G))</f>
        <v/>
      </c>
      <c r="F53" s="4" t="str">
        <f t="shared" si="1"/>
        <v/>
      </c>
      <c r="G53" s="4" t="str">
        <f>IFERROR(VLOOKUP(A53,Mehsullar!A:F,6,FALSE),"")</f>
        <v/>
      </c>
      <c r="H53" s="4" t="str">
        <f t="shared" si="2"/>
        <v/>
      </c>
    </row>
    <row r="54" ht="15.75" customHeight="1">
      <c r="A54" s="4"/>
      <c r="B54" s="4"/>
      <c r="C54" s="4"/>
      <c r="D54" s="4" t="str">
        <f>IF(A54="","",SUMIF(Anbar_Idxal!G:G,A54,Anbar_Idxal!H:H))</f>
        <v/>
      </c>
      <c r="E54" s="4" t="str">
        <f>IF(A54="","",SUMIF(Satislar!E:E,A54,Satislar!G:G))</f>
        <v/>
      </c>
      <c r="F54" s="4" t="str">
        <f t="shared" si="1"/>
        <v/>
      </c>
      <c r="G54" s="4" t="str">
        <f>IFERROR(VLOOKUP(A54,Mehsullar!A:F,6,FALSE),"")</f>
        <v/>
      </c>
      <c r="H54" s="4" t="str">
        <f t="shared" si="2"/>
        <v/>
      </c>
    </row>
    <row r="55" ht="15.75" customHeight="1">
      <c r="A55" s="4"/>
      <c r="B55" s="4"/>
      <c r="C55" s="4"/>
      <c r="D55" s="4" t="str">
        <f>IF(A55="","",SUMIF(Anbar_Idxal!G:G,A55,Anbar_Idxal!H:H))</f>
        <v/>
      </c>
      <c r="E55" s="4" t="str">
        <f>IF(A55="","",SUMIF(Satislar!E:E,A55,Satislar!G:G))</f>
        <v/>
      </c>
      <c r="F55" s="4" t="str">
        <f t="shared" si="1"/>
        <v/>
      </c>
      <c r="G55" s="4" t="str">
        <f>IFERROR(VLOOKUP(A55,Mehsullar!A:F,6,FALSE),"")</f>
        <v/>
      </c>
      <c r="H55" s="4" t="str">
        <f t="shared" si="2"/>
        <v/>
      </c>
    </row>
    <row r="56" ht="15.75" customHeight="1">
      <c r="A56" s="4"/>
      <c r="B56" s="4"/>
      <c r="C56" s="4"/>
      <c r="D56" s="4" t="str">
        <f>IF(A56="","",SUMIF(Anbar_Idxal!G:G,A56,Anbar_Idxal!H:H))</f>
        <v/>
      </c>
      <c r="E56" s="4" t="str">
        <f>IF(A56="","",SUMIF(Satislar!E:E,A56,Satislar!G:G))</f>
        <v/>
      </c>
      <c r="F56" s="4" t="str">
        <f t="shared" si="1"/>
        <v/>
      </c>
      <c r="G56" s="4" t="str">
        <f>IFERROR(VLOOKUP(A56,Mehsullar!A:F,6,FALSE),"")</f>
        <v/>
      </c>
      <c r="H56" s="4" t="str">
        <f t="shared" si="2"/>
        <v/>
      </c>
    </row>
    <row r="57" ht="15.75" customHeight="1">
      <c r="A57" s="4"/>
      <c r="B57" s="4"/>
      <c r="C57" s="4"/>
      <c r="D57" s="4" t="str">
        <f>IF(A57="","",SUMIF(Anbar_Idxal!G:G,A57,Anbar_Idxal!H:H))</f>
        <v/>
      </c>
      <c r="E57" s="4" t="str">
        <f>IF(A57="","",SUMIF(Satislar!E:E,A57,Satislar!G:G))</f>
        <v/>
      </c>
      <c r="F57" s="4" t="str">
        <f t="shared" si="1"/>
        <v/>
      </c>
      <c r="G57" s="4" t="str">
        <f>IFERROR(VLOOKUP(A57,Mehsullar!A:F,6,FALSE),"")</f>
        <v/>
      </c>
      <c r="H57" s="4" t="str">
        <f t="shared" si="2"/>
        <v/>
      </c>
    </row>
    <row r="58" ht="15.75" customHeight="1">
      <c r="A58" s="4"/>
      <c r="B58" s="4"/>
      <c r="C58" s="4"/>
      <c r="D58" s="4" t="str">
        <f>IF(A58="","",SUMIF(Anbar_Idxal!G:G,A58,Anbar_Idxal!H:H))</f>
        <v/>
      </c>
      <c r="E58" s="4" t="str">
        <f>IF(A58="","",SUMIF(Satislar!E:E,A58,Satislar!G:G))</f>
        <v/>
      </c>
      <c r="F58" s="4" t="str">
        <f t="shared" si="1"/>
        <v/>
      </c>
      <c r="G58" s="4" t="str">
        <f>IFERROR(VLOOKUP(A58,Mehsullar!A:F,6,FALSE),"")</f>
        <v/>
      </c>
      <c r="H58" s="4" t="str">
        <f t="shared" si="2"/>
        <v/>
      </c>
    </row>
    <row r="59" ht="15.75" customHeight="1">
      <c r="A59" s="4"/>
      <c r="B59" s="4"/>
      <c r="C59" s="4"/>
      <c r="D59" s="4" t="str">
        <f>IF(A59="","",SUMIF(Anbar_Idxal!G:G,A59,Anbar_Idxal!H:H))</f>
        <v/>
      </c>
      <c r="E59" s="4" t="str">
        <f>IF(A59="","",SUMIF(Satislar!E:E,A59,Satislar!G:G))</f>
        <v/>
      </c>
      <c r="F59" s="4" t="str">
        <f t="shared" si="1"/>
        <v/>
      </c>
      <c r="G59" s="4" t="str">
        <f>IFERROR(VLOOKUP(A59,Mehsullar!A:F,6,FALSE),"")</f>
        <v/>
      </c>
      <c r="H59" s="4" t="str">
        <f t="shared" si="2"/>
        <v/>
      </c>
    </row>
    <row r="60" ht="15.75" customHeight="1">
      <c r="A60" s="4"/>
      <c r="B60" s="4"/>
      <c r="C60" s="4"/>
      <c r="D60" s="4" t="str">
        <f>IF(A60="","",SUMIF(Anbar_Idxal!G:G,A60,Anbar_Idxal!H:H))</f>
        <v/>
      </c>
      <c r="E60" s="4" t="str">
        <f>IF(A60="","",SUMIF(Satislar!E:E,A60,Satislar!G:G))</f>
        <v/>
      </c>
      <c r="F60" s="4" t="str">
        <f t="shared" si="1"/>
        <v/>
      </c>
      <c r="G60" s="4" t="str">
        <f>IFERROR(VLOOKUP(A60,Mehsullar!A:F,6,FALSE),"")</f>
        <v/>
      </c>
      <c r="H60" s="4" t="str">
        <f t="shared" si="2"/>
        <v/>
      </c>
    </row>
    <row r="61" ht="15.75" customHeight="1">
      <c r="A61" s="4"/>
      <c r="B61" s="4"/>
      <c r="C61" s="4"/>
      <c r="D61" s="4" t="str">
        <f>IF(A61="","",SUMIF(Anbar_Idxal!G:G,A61,Anbar_Idxal!H:H))</f>
        <v/>
      </c>
      <c r="E61" s="4" t="str">
        <f>IF(A61="","",SUMIF(Satislar!E:E,A61,Satislar!G:G))</f>
        <v/>
      </c>
      <c r="F61" s="4" t="str">
        <f t="shared" si="1"/>
        <v/>
      </c>
      <c r="G61" s="4" t="str">
        <f>IFERROR(VLOOKUP(A61,Mehsullar!A:F,6,FALSE),"")</f>
        <v/>
      </c>
      <c r="H61" s="4" t="str">
        <f t="shared" si="2"/>
        <v/>
      </c>
    </row>
    <row r="62" ht="15.75" customHeight="1">
      <c r="A62" s="4"/>
      <c r="B62" s="4"/>
      <c r="C62" s="4"/>
      <c r="D62" s="4" t="str">
        <f>IF(A62="","",SUMIF(Anbar_Idxal!G:G,A62,Anbar_Idxal!H:H))</f>
        <v/>
      </c>
      <c r="E62" s="4" t="str">
        <f>IF(A62="","",SUMIF(Satislar!E:E,A62,Satislar!G:G))</f>
        <v/>
      </c>
      <c r="F62" s="4" t="str">
        <f t="shared" si="1"/>
        <v/>
      </c>
      <c r="G62" s="4" t="str">
        <f>IFERROR(VLOOKUP(A62,Mehsullar!A:F,6,FALSE),"")</f>
        <v/>
      </c>
      <c r="H62" s="4" t="str">
        <f t="shared" si="2"/>
        <v/>
      </c>
    </row>
    <row r="63" ht="15.75" customHeight="1">
      <c r="A63" s="4"/>
      <c r="B63" s="4"/>
      <c r="C63" s="4"/>
      <c r="D63" s="4" t="str">
        <f>IF(A63="","",SUMIF(Anbar_Idxal!G:G,A63,Anbar_Idxal!H:H))</f>
        <v/>
      </c>
      <c r="E63" s="4" t="str">
        <f>IF(A63="","",SUMIF(Satislar!E:E,A63,Satislar!G:G))</f>
        <v/>
      </c>
      <c r="F63" s="4" t="str">
        <f t="shared" si="1"/>
        <v/>
      </c>
      <c r="G63" s="4" t="str">
        <f>IFERROR(VLOOKUP(A63,Mehsullar!A:F,6,FALSE),"")</f>
        <v/>
      </c>
      <c r="H63" s="4" t="str">
        <f t="shared" si="2"/>
        <v/>
      </c>
    </row>
    <row r="64" ht="15.75" customHeight="1">
      <c r="A64" s="4"/>
      <c r="B64" s="4"/>
      <c r="C64" s="4"/>
      <c r="D64" s="4" t="str">
        <f>IF(A64="","",SUMIF(Anbar_Idxal!G:G,A64,Anbar_Idxal!H:H))</f>
        <v/>
      </c>
      <c r="E64" s="4" t="str">
        <f>IF(A64="","",SUMIF(Satislar!E:E,A64,Satislar!G:G))</f>
        <v/>
      </c>
      <c r="F64" s="4" t="str">
        <f t="shared" si="1"/>
        <v/>
      </c>
      <c r="G64" s="4" t="str">
        <f>IFERROR(VLOOKUP(A64,Mehsullar!A:F,6,FALSE),"")</f>
        <v/>
      </c>
      <c r="H64" s="4" t="str">
        <f t="shared" si="2"/>
        <v/>
      </c>
    </row>
    <row r="65" ht="15.75" customHeight="1">
      <c r="A65" s="4"/>
      <c r="B65" s="4"/>
      <c r="C65" s="4"/>
      <c r="D65" s="4" t="str">
        <f>IF(A65="","",SUMIF(Anbar_Idxal!G:G,A65,Anbar_Idxal!H:H))</f>
        <v/>
      </c>
      <c r="E65" s="4" t="str">
        <f>IF(A65="","",SUMIF(Satislar!E:E,A65,Satislar!G:G))</f>
        <v/>
      </c>
      <c r="F65" s="4" t="str">
        <f t="shared" si="1"/>
        <v/>
      </c>
      <c r="G65" s="4" t="str">
        <f>IFERROR(VLOOKUP(A65,Mehsullar!A:F,6,FALSE),"")</f>
        <v/>
      </c>
      <c r="H65" s="4" t="str">
        <f t="shared" si="2"/>
        <v/>
      </c>
    </row>
    <row r="66" ht="15.75" customHeight="1">
      <c r="A66" s="4"/>
      <c r="B66" s="4"/>
      <c r="C66" s="4"/>
      <c r="D66" s="4" t="str">
        <f>IF(A66="","",SUMIF(Anbar_Idxal!G:G,A66,Anbar_Idxal!H:H))</f>
        <v/>
      </c>
      <c r="E66" s="4" t="str">
        <f>IF(A66="","",SUMIF(Satislar!E:E,A66,Satislar!G:G))</f>
        <v/>
      </c>
      <c r="F66" s="4" t="str">
        <f t="shared" si="1"/>
        <v/>
      </c>
      <c r="G66" s="4" t="str">
        <f>IFERROR(VLOOKUP(A66,Mehsullar!A:F,6,FALSE),"")</f>
        <v/>
      </c>
      <c r="H66" s="4" t="str">
        <f t="shared" si="2"/>
        <v/>
      </c>
    </row>
    <row r="67" ht="15.75" customHeight="1">
      <c r="A67" s="4"/>
      <c r="B67" s="4"/>
      <c r="C67" s="4"/>
      <c r="D67" s="4" t="str">
        <f>IF(A67="","",SUMIF(Anbar_Idxal!G:G,A67,Anbar_Idxal!H:H))</f>
        <v/>
      </c>
      <c r="E67" s="4" t="str">
        <f>IF(A67="","",SUMIF(Satislar!E:E,A67,Satislar!G:G))</f>
        <v/>
      </c>
      <c r="F67" s="4" t="str">
        <f t="shared" si="1"/>
        <v/>
      </c>
      <c r="G67" s="4" t="str">
        <f>IFERROR(VLOOKUP(A67,Mehsullar!A:F,6,FALSE),"")</f>
        <v/>
      </c>
      <c r="H67" s="4" t="str">
        <f t="shared" si="2"/>
        <v/>
      </c>
    </row>
    <row r="68" ht="15.75" customHeight="1">
      <c r="A68" s="4"/>
      <c r="B68" s="4"/>
      <c r="C68" s="4"/>
      <c r="D68" s="4" t="str">
        <f>IF(A68="","",SUMIF(Anbar_Idxal!G:G,A68,Anbar_Idxal!H:H))</f>
        <v/>
      </c>
      <c r="E68" s="4" t="str">
        <f>IF(A68="","",SUMIF(Satislar!E:E,A68,Satislar!G:G))</f>
        <v/>
      </c>
      <c r="F68" s="4" t="str">
        <f t="shared" si="1"/>
        <v/>
      </c>
      <c r="G68" s="4" t="str">
        <f>IFERROR(VLOOKUP(A68,Mehsullar!A:F,6,FALSE),"")</f>
        <v/>
      </c>
      <c r="H68" s="4" t="str">
        <f t="shared" si="2"/>
        <v/>
      </c>
    </row>
    <row r="69" ht="15.75" customHeight="1">
      <c r="A69" s="4"/>
      <c r="B69" s="4"/>
      <c r="C69" s="4"/>
      <c r="D69" s="4" t="str">
        <f>IF(A69="","",SUMIF(Anbar_Idxal!G:G,A69,Anbar_Idxal!H:H))</f>
        <v/>
      </c>
      <c r="E69" s="4" t="str">
        <f>IF(A69="","",SUMIF(Satislar!E:E,A69,Satislar!G:G))</f>
        <v/>
      </c>
      <c r="F69" s="4" t="str">
        <f t="shared" si="1"/>
        <v/>
      </c>
      <c r="G69" s="4" t="str">
        <f>IFERROR(VLOOKUP(A69,Mehsullar!A:F,6,FALSE),"")</f>
        <v/>
      </c>
      <c r="H69" s="4" t="str">
        <f t="shared" si="2"/>
        <v/>
      </c>
    </row>
    <row r="70" ht="15.75" customHeight="1">
      <c r="A70" s="4"/>
      <c r="B70" s="4"/>
      <c r="C70" s="4"/>
      <c r="D70" s="4" t="str">
        <f>IF(A70="","",SUMIF(Anbar_Idxal!G:G,A70,Anbar_Idxal!H:H))</f>
        <v/>
      </c>
      <c r="E70" s="4" t="str">
        <f>IF(A70="","",SUMIF(Satislar!E:E,A70,Satislar!G:G))</f>
        <v/>
      </c>
      <c r="F70" s="4" t="str">
        <f t="shared" si="1"/>
        <v/>
      </c>
      <c r="G70" s="4" t="str">
        <f>IFERROR(VLOOKUP(A70,Mehsullar!A:F,6,FALSE),"")</f>
        <v/>
      </c>
      <c r="H70" s="4" t="str">
        <f t="shared" si="2"/>
        <v/>
      </c>
    </row>
    <row r="71" ht="15.75" customHeight="1">
      <c r="A71" s="4"/>
      <c r="B71" s="4"/>
      <c r="C71" s="4"/>
      <c r="D71" s="4" t="str">
        <f>IF(A71="","",SUMIF(Anbar_Idxal!G:G,A71,Anbar_Idxal!H:H))</f>
        <v/>
      </c>
      <c r="E71" s="4" t="str">
        <f>IF(A71="","",SUMIF(Satislar!E:E,A71,Satislar!G:G))</f>
        <v/>
      </c>
      <c r="F71" s="4" t="str">
        <f t="shared" si="1"/>
        <v/>
      </c>
      <c r="G71" s="4" t="str">
        <f>IFERROR(VLOOKUP(A71,Mehsullar!A:F,6,FALSE),"")</f>
        <v/>
      </c>
      <c r="H71" s="4" t="str">
        <f t="shared" si="2"/>
        <v/>
      </c>
    </row>
    <row r="72" ht="15.75" customHeight="1">
      <c r="A72" s="4"/>
      <c r="B72" s="4"/>
      <c r="C72" s="4"/>
      <c r="D72" s="4" t="str">
        <f>IF(A72="","",SUMIF(Anbar_Idxal!G:G,A72,Anbar_Idxal!H:H))</f>
        <v/>
      </c>
      <c r="E72" s="4" t="str">
        <f>IF(A72="","",SUMIF(Satislar!E:E,A72,Satislar!G:G))</f>
        <v/>
      </c>
      <c r="F72" s="4" t="str">
        <f t="shared" si="1"/>
        <v/>
      </c>
      <c r="G72" s="4" t="str">
        <f>IFERROR(VLOOKUP(A72,Mehsullar!A:F,6,FALSE),"")</f>
        <v/>
      </c>
      <c r="H72" s="4" t="str">
        <f t="shared" si="2"/>
        <v/>
      </c>
    </row>
    <row r="73" ht="15.75" customHeight="1">
      <c r="A73" s="4"/>
      <c r="B73" s="4"/>
      <c r="C73" s="4"/>
      <c r="D73" s="4" t="str">
        <f>IF(A73="","",SUMIF(Anbar_Idxal!G:G,A73,Anbar_Idxal!H:H))</f>
        <v/>
      </c>
      <c r="E73" s="4" t="str">
        <f>IF(A73="","",SUMIF(Satislar!E:E,A73,Satislar!G:G))</f>
        <v/>
      </c>
      <c r="F73" s="4" t="str">
        <f t="shared" si="1"/>
        <v/>
      </c>
      <c r="G73" s="4" t="str">
        <f>IFERROR(VLOOKUP(A73,Mehsullar!A:F,6,FALSE),"")</f>
        <v/>
      </c>
      <c r="H73" s="4" t="str">
        <f t="shared" si="2"/>
        <v/>
      </c>
    </row>
    <row r="74" ht="15.75" customHeight="1">
      <c r="A74" s="4"/>
      <c r="B74" s="4"/>
      <c r="C74" s="4"/>
      <c r="D74" s="4" t="str">
        <f>IF(A74="","",SUMIF(Anbar_Idxal!G:G,A74,Anbar_Idxal!H:H))</f>
        <v/>
      </c>
      <c r="E74" s="4" t="str">
        <f>IF(A74="","",SUMIF(Satislar!E:E,A74,Satislar!G:G))</f>
        <v/>
      </c>
      <c r="F74" s="4" t="str">
        <f t="shared" si="1"/>
        <v/>
      </c>
      <c r="G74" s="4" t="str">
        <f>IFERROR(VLOOKUP(A74,Mehsullar!A:F,6,FALSE),"")</f>
        <v/>
      </c>
      <c r="H74" s="4" t="str">
        <f t="shared" si="2"/>
        <v/>
      </c>
    </row>
    <row r="75" ht="15.75" customHeight="1">
      <c r="A75" s="4"/>
      <c r="B75" s="4"/>
      <c r="C75" s="4"/>
      <c r="D75" s="4" t="str">
        <f>IF(A75="","",SUMIF(Anbar_Idxal!G:G,A75,Anbar_Idxal!H:H))</f>
        <v/>
      </c>
      <c r="E75" s="4" t="str">
        <f>IF(A75="","",SUMIF(Satislar!E:E,A75,Satislar!G:G))</f>
        <v/>
      </c>
      <c r="F75" s="4" t="str">
        <f t="shared" si="1"/>
        <v/>
      </c>
      <c r="G75" s="4" t="str">
        <f>IFERROR(VLOOKUP(A75,Mehsullar!A:F,6,FALSE),"")</f>
        <v/>
      </c>
      <c r="H75" s="4" t="str">
        <f t="shared" si="2"/>
        <v/>
      </c>
    </row>
    <row r="76" ht="15.75" customHeight="1">
      <c r="A76" s="4"/>
      <c r="B76" s="4"/>
      <c r="C76" s="4"/>
      <c r="D76" s="4" t="str">
        <f>IF(A76="","",SUMIF(Anbar_Idxal!G:G,A76,Anbar_Idxal!H:H))</f>
        <v/>
      </c>
      <c r="E76" s="4" t="str">
        <f>IF(A76="","",SUMIF(Satislar!E:E,A76,Satislar!G:G))</f>
        <v/>
      </c>
      <c r="F76" s="4" t="str">
        <f t="shared" si="1"/>
        <v/>
      </c>
      <c r="G76" s="4" t="str">
        <f>IFERROR(VLOOKUP(A76,Mehsullar!A:F,6,FALSE),"")</f>
        <v/>
      </c>
      <c r="H76" s="4" t="str">
        <f t="shared" si="2"/>
        <v/>
      </c>
    </row>
    <row r="77" ht="15.75" customHeight="1">
      <c r="A77" s="4"/>
      <c r="B77" s="4"/>
      <c r="C77" s="4"/>
      <c r="D77" s="4" t="str">
        <f>IF(A77="","",SUMIF(Anbar_Idxal!G:G,A77,Anbar_Idxal!H:H))</f>
        <v/>
      </c>
      <c r="E77" s="4" t="str">
        <f>IF(A77="","",SUMIF(Satislar!E:E,A77,Satislar!G:G))</f>
        <v/>
      </c>
      <c r="F77" s="4" t="str">
        <f t="shared" si="1"/>
        <v/>
      </c>
      <c r="G77" s="4" t="str">
        <f>IFERROR(VLOOKUP(A77,Mehsullar!A:F,6,FALSE),"")</f>
        <v/>
      </c>
      <c r="H77" s="4" t="str">
        <f t="shared" si="2"/>
        <v/>
      </c>
    </row>
    <row r="78" ht="15.75" customHeight="1">
      <c r="A78" s="4"/>
      <c r="B78" s="4"/>
      <c r="C78" s="4"/>
      <c r="D78" s="4" t="str">
        <f>IF(A78="","",SUMIF(Anbar_Idxal!G:G,A78,Anbar_Idxal!H:H))</f>
        <v/>
      </c>
      <c r="E78" s="4" t="str">
        <f>IF(A78="","",SUMIF(Satislar!E:E,A78,Satislar!G:G))</f>
        <v/>
      </c>
      <c r="F78" s="4" t="str">
        <f t="shared" si="1"/>
        <v/>
      </c>
      <c r="G78" s="4" t="str">
        <f>IFERROR(VLOOKUP(A78,Mehsullar!A:F,6,FALSE),"")</f>
        <v/>
      </c>
      <c r="H78" s="4" t="str">
        <f t="shared" si="2"/>
        <v/>
      </c>
    </row>
    <row r="79" ht="15.75" customHeight="1">
      <c r="A79" s="4"/>
      <c r="B79" s="4"/>
      <c r="C79" s="4"/>
      <c r="D79" s="4" t="str">
        <f>IF(A79="","",SUMIF(Anbar_Idxal!G:G,A79,Anbar_Idxal!H:H))</f>
        <v/>
      </c>
      <c r="E79" s="4" t="str">
        <f>IF(A79="","",SUMIF(Satislar!E:E,A79,Satislar!G:G))</f>
        <v/>
      </c>
      <c r="F79" s="4" t="str">
        <f t="shared" si="1"/>
        <v/>
      </c>
      <c r="G79" s="4" t="str">
        <f>IFERROR(VLOOKUP(A79,Mehsullar!A:F,6,FALSE),"")</f>
        <v/>
      </c>
      <c r="H79" s="4" t="str">
        <f t="shared" si="2"/>
        <v/>
      </c>
    </row>
    <row r="80" ht="15.75" customHeight="1">
      <c r="A80" s="4"/>
      <c r="B80" s="4"/>
      <c r="C80" s="4"/>
      <c r="D80" s="4" t="str">
        <f>IF(A80="","",SUMIF(Anbar_Idxal!G:G,A80,Anbar_Idxal!H:H))</f>
        <v/>
      </c>
      <c r="E80" s="4" t="str">
        <f>IF(A80="","",SUMIF(Satislar!E:E,A80,Satislar!G:G))</f>
        <v/>
      </c>
      <c r="F80" s="4" t="str">
        <f t="shared" si="1"/>
        <v/>
      </c>
      <c r="G80" s="4" t="str">
        <f>IFERROR(VLOOKUP(A80,Mehsullar!A:F,6,FALSE),"")</f>
        <v/>
      </c>
      <c r="H80" s="4" t="str">
        <f t="shared" si="2"/>
        <v/>
      </c>
    </row>
    <row r="81" ht="15.75" customHeight="1">
      <c r="A81" s="4"/>
      <c r="B81" s="4"/>
      <c r="C81" s="4"/>
      <c r="D81" s="4" t="str">
        <f>IF(A81="","",SUMIF(Anbar_Idxal!G:G,A81,Anbar_Idxal!H:H))</f>
        <v/>
      </c>
      <c r="E81" s="4" t="str">
        <f>IF(A81="","",SUMIF(Satislar!E:E,A81,Satislar!G:G))</f>
        <v/>
      </c>
      <c r="F81" s="4" t="str">
        <f t="shared" si="1"/>
        <v/>
      </c>
      <c r="G81" s="4" t="str">
        <f>IFERROR(VLOOKUP(A81,Mehsullar!A:F,6,FALSE),"")</f>
        <v/>
      </c>
      <c r="H81" s="4" t="str">
        <f t="shared" si="2"/>
        <v/>
      </c>
    </row>
    <row r="82" ht="15.75" customHeight="1">
      <c r="A82" s="4"/>
      <c r="B82" s="4"/>
      <c r="C82" s="4"/>
      <c r="D82" s="4" t="str">
        <f>IF(A82="","",SUMIF(Anbar_Idxal!G:G,A82,Anbar_Idxal!H:H))</f>
        <v/>
      </c>
      <c r="E82" s="4" t="str">
        <f>IF(A82="","",SUMIF(Satislar!E:E,A82,Satislar!G:G))</f>
        <v/>
      </c>
      <c r="F82" s="4" t="str">
        <f t="shared" si="1"/>
        <v/>
      </c>
      <c r="G82" s="4" t="str">
        <f>IFERROR(VLOOKUP(A82,Mehsullar!A:F,6,FALSE),"")</f>
        <v/>
      </c>
      <c r="H82" s="4" t="str">
        <f t="shared" si="2"/>
        <v/>
      </c>
    </row>
    <row r="83" ht="15.75" customHeight="1">
      <c r="A83" s="4"/>
      <c r="B83" s="4"/>
      <c r="C83" s="4"/>
      <c r="D83" s="4" t="str">
        <f>IF(A83="","",SUMIF(Anbar_Idxal!G:G,A83,Anbar_Idxal!H:H))</f>
        <v/>
      </c>
      <c r="E83" s="4" t="str">
        <f>IF(A83="","",SUMIF(Satislar!E:E,A83,Satislar!G:G))</f>
        <v/>
      </c>
      <c r="F83" s="4" t="str">
        <f t="shared" si="1"/>
        <v/>
      </c>
      <c r="G83" s="4" t="str">
        <f>IFERROR(VLOOKUP(A83,Mehsullar!A:F,6,FALSE),"")</f>
        <v/>
      </c>
      <c r="H83" s="4" t="str">
        <f t="shared" si="2"/>
        <v/>
      </c>
    </row>
    <row r="84" ht="15.75" customHeight="1">
      <c r="A84" s="4"/>
      <c r="B84" s="4"/>
      <c r="C84" s="4"/>
      <c r="D84" s="4" t="str">
        <f>IF(A84="","",SUMIF(Anbar_Idxal!G:G,A84,Anbar_Idxal!H:H))</f>
        <v/>
      </c>
      <c r="E84" s="4" t="str">
        <f>IF(A84="","",SUMIF(Satislar!E:E,A84,Satislar!G:G))</f>
        <v/>
      </c>
      <c r="F84" s="4" t="str">
        <f t="shared" si="1"/>
        <v/>
      </c>
      <c r="G84" s="4" t="str">
        <f>IFERROR(VLOOKUP(A84,Mehsullar!A:F,6,FALSE),"")</f>
        <v/>
      </c>
      <c r="H84" s="4" t="str">
        <f t="shared" si="2"/>
        <v/>
      </c>
    </row>
    <row r="85" ht="15.75" customHeight="1">
      <c r="A85" s="4"/>
      <c r="B85" s="4"/>
      <c r="C85" s="4"/>
      <c r="D85" s="4" t="str">
        <f>IF(A85="","",SUMIF(Anbar_Idxal!G:G,A85,Anbar_Idxal!H:H))</f>
        <v/>
      </c>
      <c r="E85" s="4" t="str">
        <f>IF(A85="","",SUMIF(Satislar!E:E,A85,Satislar!G:G))</f>
        <v/>
      </c>
      <c r="F85" s="4" t="str">
        <f t="shared" si="1"/>
        <v/>
      </c>
      <c r="G85" s="4" t="str">
        <f>IFERROR(VLOOKUP(A85,Mehsullar!A:F,6,FALSE),"")</f>
        <v/>
      </c>
      <c r="H85" s="4" t="str">
        <f t="shared" si="2"/>
        <v/>
      </c>
    </row>
    <row r="86" ht="15.75" customHeight="1">
      <c r="A86" s="4"/>
      <c r="B86" s="4"/>
      <c r="C86" s="4"/>
      <c r="D86" s="4" t="str">
        <f>IF(A86="","",SUMIF(Anbar_Idxal!G:G,A86,Anbar_Idxal!H:H))</f>
        <v/>
      </c>
      <c r="E86" s="4" t="str">
        <f>IF(A86="","",SUMIF(Satislar!E:E,A86,Satislar!G:G))</f>
        <v/>
      </c>
      <c r="F86" s="4" t="str">
        <f t="shared" si="1"/>
        <v/>
      </c>
      <c r="G86" s="4" t="str">
        <f>IFERROR(VLOOKUP(A86,Mehsullar!A:F,6,FALSE),"")</f>
        <v/>
      </c>
      <c r="H86" s="4" t="str">
        <f t="shared" si="2"/>
        <v/>
      </c>
    </row>
    <row r="87" ht="15.75" customHeight="1">
      <c r="A87" s="4"/>
      <c r="B87" s="4"/>
      <c r="C87" s="4"/>
      <c r="D87" s="4" t="str">
        <f>IF(A87="","",SUMIF(Anbar_Idxal!G:G,A87,Anbar_Idxal!H:H))</f>
        <v/>
      </c>
      <c r="E87" s="4" t="str">
        <f>IF(A87="","",SUMIF(Satislar!E:E,A87,Satislar!G:G))</f>
        <v/>
      </c>
      <c r="F87" s="4" t="str">
        <f t="shared" si="1"/>
        <v/>
      </c>
      <c r="G87" s="4" t="str">
        <f>IFERROR(VLOOKUP(A87,Mehsullar!A:F,6,FALSE),"")</f>
        <v/>
      </c>
      <c r="H87" s="4" t="str">
        <f t="shared" si="2"/>
        <v/>
      </c>
    </row>
    <row r="88" ht="15.75" customHeight="1">
      <c r="A88" s="4"/>
      <c r="B88" s="4"/>
      <c r="C88" s="4"/>
      <c r="D88" s="4" t="str">
        <f>IF(A88="","",SUMIF(Anbar_Idxal!G:G,A88,Anbar_Idxal!H:H))</f>
        <v/>
      </c>
      <c r="E88" s="4" t="str">
        <f>IF(A88="","",SUMIF(Satislar!E:E,A88,Satislar!G:G))</f>
        <v/>
      </c>
      <c r="F88" s="4" t="str">
        <f t="shared" si="1"/>
        <v/>
      </c>
      <c r="G88" s="4" t="str">
        <f>IFERROR(VLOOKUP(A88,Mehsullar!A:F,6,FALSE),"")</f>
        <v/>
      </c>
      <c r="H88" s="4" t="str">
        <f t="shared" si="2"/>
        <v/>
      </c>
    </row>
    <row r="89" ht="15.75" customHeight="1">
      <c r="A89" s="4"/>
      <c r="B89" s="4"/>
      <c r="C89" s="4"/>
      <c r="D89" s="4" t="str">
        <f>IF(A89="","",SUMIF(Anbar_Idxal!G:G,A89,Anbar_Idxal!H:H))</f>
        <v/>
      </c>
      <c r="E89" s="4" t="str">
        <f>IF(A89="","",SUMIF(Satislar!E:E,A89,Satislar!G:G))</f>
        <v/>
      </c>
      <c r="F89" s="4" t="str">
        <f t="shared" si="1"/>
        <v/>
      </c>
      <c r="G89" s="4" t="str">
        <f>IFERROR(VLOOKUP(A89,Mehsullar!A:F,6,FALSE),"")</f>
        <v/>
      </c>
      <c r="H89" s="4" t="str">
        <f t="shared" si="2"/>
        <v/>
      </c>
    </row>
    <row r="90" ht="15.75" customHeight="1">
      <c r="A90" s="4"/>
      <c r="B90" s="4"/>
      <c r="C90" s="4"/>
      <c r="D90" s="4" t="str">
        <f>IF(A90="","",SUMIF(Anbar_Idxal!G:G,A90,Anbar_Idxal!H:H))</f>
        <v/>
      </c>
      <c r="E90" s="4" t="str">
        <f>IF(A90="","",SUMIF(Satislar!E:E,A90,Satislar!G:G))</f>
        <v/>
      </c>
      <c r="F90" s="4" t="str">
        <f t="shared" si="1"/>
        <v/>
      </c>
      <c r="G90" s="4" t="str">
        <f>IFERROR(VLOOKUP(A90,Mehsullar!A:F,6,FALSE),"")</f>
        <v/>
      </c>
      <c r="H90" s="4" t="str">
        <f t="shared" si="2"/>
        <v/>
      </c>
    </row>
    <row r="91" ht="15.75" customHeight="1">
      <c r="A91" s="4"/>
      <c r="B91" s="4"/>
      <c r="C91" s="4"/>
      <c r="D91" s="4" t="str">
        <f>IF(A91="","",SUMIF(Anbar_Idxal!G:G,A91,Anbar_Idxal!H:H))</f>
        <v/>
      </c>
      <c r="E91" s="4" t="str">
        <f>IF(A91="","",SUMIF(Satislar!E:E,A91,Satislar!G:G))</f>
        <v/>
      </c>
      <c r="F91" s="4" t="str">
        <f t="shared" si="1"/>
        <v/>
      </c>
      <c r="G91" s="4" t="str">
        <f>IFERROR(VLOOKUP(A91,Mehsullar!A:F,6,FALSE),"")</f>
        <v/>
      </c>
      <c r="H91" s="4" t="str">
        <f t="shared" si="2"/>
        <v/>
      </c>
    </row>
    <row r="92" ht="15.75" customHeight="1">
      <c r="A92" s="4"/>
      <c r="B92" s="4"/>
      <c r="C92" s="4"/>
      <c r="D92" s="4" t="str">
        <f>IF(A92="","",SUMIF(Anbar_Idxal!G:G,A92,Anbar_Idxal!H:H))</f>
        <v/>
      </c>
      <c r="E92" s="4" t="str">
        <f>IF(A92="","",SUMIF(Satislar!E:E,A92,Satislar!G:G))</f>
        <v/>
      </c>
      <c r="F92" s="4" t="str">
        <f t="shared" si="1"/>
        <v/>
      </c>
      <c r="G92" s="4" t="str">
        <f>IFERROR(VLOOKUP(A92,Mehsullar!A:F,6,FALSE),"")</f>
        <v/>
      </c>
      <c r="H92" s="4" t="str">
        <f t="shared" si="2"/>
        <v/>
      </c>
    </row>
    <row r="93" ht="15.75" customHeight="1">
      <c r="A93" s="4"/>
      <c r="B93" s="4"/>
      <c r="C93" s="4"/>
      <c r="D93" s="4" t="str">
        <f>IF(A93="","",SUMIF(Anbar_Idxal!G:G,A93,Anbar_Idxal!H:H))</f>
        <v/>
      </c>
      <c r="E93" s="4" t="str">
        <f>IF(A93="","",SUMIF(Satislar!E:E,A93,Satislar!G:G))</f>
        <v/>
      </c>
      <c r="F93" s="4" t="str">
        <f t="shared" si="1"/>
        <v/>
      </c>
      <c r="G93" s="4" t="str">
        <f>IFERROR(VLOOKUP(A93,Mehsullar!A:F,6,FALSE),"")</f>
        <v/>
      </c>
      <c r="H93" s="4" t="str">
        <f t="shared" si="2"/>
        <v/>
      </c>
    </row>
    <row r="94" ht="15.75" customHeight="1">
      <c r="A94" s="4"/>
      <c r="B94" s="4"/>
      <c r="C94" s="4"/>
      <c r="D94" s="4" t="str">
        <f>IF(A94="","",SUMIF(Anbar_Idxal!G:G,A94,Anbar_Idxal!H:H))</f>
        <v/>
      </c>
      <c r="E94" s="4" t="str">
        <f>IF(A94="","",SUMIF(Satislar!E:E,A94,Satislar!G:G))</f>
        <v/>
      </c>
      <c r="F94" s="4" t="str">
        <f t="shared" si="1"/>
        <v/>
      </c>
      <c r="G94" s="4" t="str">
        <f>IFERROR(VLOOKUP(A94,Mehsullar!A:F,6,FALSE),"")</f>
        <v/>
      </c>
      <c r="H94" s="4" t="str">
        <f t="shared" si="2"/>
        <v/>
      </c>
    </row>
    <row r="95" ht="15.75" customHeight="1">
      <c r="A95" s="4"/>
      <c r="B95" s="4"/>
      <c r="C95" s="4"/>
      <c r="D95" s="4" t="str">
        <f>IF(A95="","",SUMIF(Anbar_Idxal!G:G,A95,Anbar_Idxal!H:H))</f>
        <v/>
      </c>
      <c r="E95" s="4" t="str">
        <f>IF(A95="","",SUMIF(Satislar!E:E,A95,Satislar!G:G))</f>
        <v/>
      </c>
      <c r="F95" s="4" t="str">
        <f t="shared" si="1"/>
        <v/>
      </c>
      <c r="G95" s="4" t="str">
        <f>IFERROR(VLOOKUP(A95,Mehsullar!A:F,6,FALSE),"")</f>
        <v/>
      </c>
      <c r="H95" s="4" t="str">
        <f t="shared" si="2"/>
        <v/>
      </c>
    </row>
    <row r="96" ht="15.75" customHeight="1">
      <c r="A96" s="4"/>
      <c r="B96" s="4"/>
      <c r="C96" s="4"/>
      <c r="D96" s="4" t="str">
        <f>IF(A96="","",SUMIF(Anbar_Idxal!G:G,A96,Anbar_Idxal!H:H))</f>
        <v/>
      </c>
      <c r="E96" s="4" t="str">
        <f>IF(A96="","",SUMIF(Satislar!E:E,A96,Satislar!G:G))</f>
        <v/>
      </c>
      <c r="F96" s="4" t="str">
        <f t="shared" si="1"/>
        <v/>
      </c>
      <c r="G96" s="4" t="str">
        <f>IFERROR(VLOOKUP(A96,Mehsullar!A:F,6,FALSE),"")</f>
        <v/>
      </c>
      <c r="H96" s="4" t="str">
        <f t="shared" si="2"/>
        <v/>
      </c>
    </row>
    <row r="97" ht="15.75" customHeight="1">
      <c r="A97" s="4"/>
      <c r="B97" s="4"/>
      <c r="C97" s="4"/>
      <c r="D97" s="4" t="str">
        <f>IF(A97="","",SUMIF(Anbar_Idxal!G:G,A97,Anbar_Idxal!H:H))</f>
        <v/>
      </c>
      <c r="E97" s="4" t="str">
        <f>IF(A97="","",SUMIF(Satislar!E:E,A97,Satislar!G:G))</f>
        <v/>
      </c>
      <c r="F97" s="4" t="str">
        <f t="shared" si="1"/>
        <v/>
      </c>
      <c r="G97" s="4" t="str">
        <f>IFERROR(VLOOKUP(A97,Mehsullar!A:F,6,FALSE),"")</f>
        <v/>
      </c>
      <c r="H97" s="4" t="str">
        <f t="shared" si="2"/>
        <v/>
      </c>
    </row>
    <row r="98" ht="15.75" customHeight="1">
      <c r="A98" s="4"/>
      <c r="B98" s="4"/>
      <c r="C98" s="4"/>
      <c r="D98" s="4" t="str">
        <f>IF(A98="","",SUMIF(Anbar_Idxal!G:G,A98,Anbar_Idxal!H:H))</f>
        <v/>
      </c>
      <c r="E98" s="4" t="str">
        <f>IF(A98="","",SUMIF(Satislar!E:E,A98,Satislar!G:G))</f>
        <v/>
      </c>
      <c r="F98" s="4" t="str">
        <f t="shared" si="1"/>
        <v/>
      </c>
      <c r="G98" s="4" t="str">
        <f>IFERROR(VLOOKUP(A98,Mehsullar!A:F,6,FALSE),"")</f>
        <v/>
      </c>
      <c r="H98" s="4" t="str">
        <f t="shared" si="2"/>
        <v/>
      </c>
    </row>
    <row r="99" ht="15.75" customHeight="1">
      <c r="A99" s="4"/>
      <c r="B99" s="4"/>
      <c r="C99" s="4"/>
      <c r="D99" s="4" t="str">
        <f>IF(A99="","",SUMIF(Anbar_Idxal!G:G,A99,Anbar_Idxal!H:H))</f>
        <v/>
      </c>
      <c r="E99" s="4" t="str">
        <f>IF(A99="","",SUMIF(Satislar!E:E,A99,Satislar!G:G))</f>
        <v/>
      </c>
      <c r="F99" s="4" t="str">
        <f t="shared" si="1"/>
        <v/>
      </c>
      <c r="G99" s="4" t="str">
        <f>IFERROR(VLOOKUP(A99,Mehsullar!A:F,6,FALSE),"")</f>
        <v/>
      </c>
      <c r="H99" s="4" t="str">
        <f t="shared" si="2"/>
        <v/>
      </c>
    </row>
    <row r="100" ht="15.75" customHeight="1">
      <c r="A100" s="4"/>
      <c r="B100" s="4"/>
      <c r="C100" s="4"/>
      <c r="D100" s="4" t="str">
        <f>IF(A100="","",SUMIF(Anbar_Idxal!G:G,A100,Anbar_Idxal!H:H))</f>
        <v/>
      </c>
      <c r="E100" s="4" t="str">
        <f>IF(A100="","",SUMIF(Satislar!E:E,A100,Satislar!G:G))</f>
        <v/>
      </c>
      <c r="F100" s="4" t="str">
        <f t="shared" si="1"/>
        <v/>
      </c>
      <c r="G100" s="4" t="str">
        <f>IFERROR(VLOOKUP(A100,Mehsullar!A:F,6,FALSE),"")</f>
        <v/>
      </c>
      <c r="H100" s="4" t="str">
        <f t="shared" si="2"/>
        <v/>
      </c>
    </row>
    <row r="101" ht="15.75" customHeight="1">
      <c r="A101" s="4"/>
      <c r="B101" s="4"/>
      <c r="C101" s="4"/>
      <c r="D101" s="4" t="str">
        <f>IF(A101="","",SUMIF(Anbar_Idxal!G:G,A101,Anbar_Idxal!H:H))</f>
        <v/>
      </c>
      <c r="E101" s="4" t="str">
        <f>IF(A101="","",SUMIF(Satislar!E:E,A101,Satislar!G:G))</f>
        <v/>
      </c>
      <c r="F101" s="4" t="str">
        <f t="shared" si="1"/>
        <v/>
      </c>
      <c r="G101" s="4" t="str">
        <f>IFERROR(VLOOKUP(A101,Mehsullar!A:F,6,FALSE),"")</f>
        <v/>
      </c>
      <c r="H101" s="4" t="str">
        <f t="shared" si="2"/>
        <v/>
      </c>
    </row>
    <row r="102" ht="15.75" customHeight="1">
      <c r="A102" s="4"/>
      <c r="B102" s="4"/>
      <c r="C102" s="4"/>
      <c r="D102" s="4" t="str">
        <f>IF(A102="","",SUMIF(Anbar_Idxal!G:G,A102,Anbar_Idxal!H:H))</f>
        <v/>
      </c>
      <c r="E102" s="4" t="str">
        <f>IF(A102="","",SUMIF(Satislar!E:E,A102,Satislar!G:G))</f>
        <v/>
      </c>
      <c r="F102" s="4" t="str">
        <f t="shared" si="1"/>
        <v/>
      </c>
      <c r="G102" s="4" t="str">
        <f>IFERROR(VLOOKUP(A102,Mehsullar!A:F,6,FALSE),"")</f>
        <v/>
      </c>
      <c r="H102" s="4" t="str">
        <f t="shared" si="2"/>
        <v/>
      </c>
    </row>
    <row r="103" ht="15.75" customHeight="1">
      <c r="A103" s="4"/>
      <c r="B103" s="4"/>
      <c r="C103" s="4"/>
      <c r="D103" s="4" t="str">
        <f>IF(A103="","",SUMIF(Anbar_Idxal!G:G,A103,Anbar_Idxal!H:H))</f>
        <v/>
      </c>
      <c r="E103" s="4" t="str">
        <f>IF(A103="","",SUMIF(Satislar!E:E,A103,Satislar!G:G))</f>
        <v/>
      </c>
      <c r="F103" s="4" t="str">
        <f t="shared" si="1"/>
        <v/>
      </c>
      <c r="G103" s="4" t="str">
        <f>IFERROR(VLOOKUP(A103,Mehsullar!A:F,6,FALSE),"")</f>
        <v/>
      </c>
      <c r="H103" s="4" t="str">
        <f t="shared" si="2"/>
        <v/>
      </c>
    </row>
    <row r="104" ht="15.75" customHeight="1">
      <c r="A104" s="4"/>
      <c r="B104" s="4"/>
      <c r="C104" s="4"/>
      <c r="D104" s="4" t="str">
        <f>IF(A104="","",SUMIF(Anbar_Idxal!G:G,A104,Anbar_Idxal!H:H))</f>
        <v/>
      </c>
      <c r="E104" s="4" t="str">
        <f>IF(A104="","",SUMIF(Satislar!E:E,A104,Satislar!G:G))</f>
        <v/>
      </c>
      <c r="F104" s="4" t="str">
        <f t="shared" si="1"/>
        <v/>
      </c>
      <c r="G104" s="4" t="str">
        <f>IFERROR(VLOOKUP(A104,Mehsullar!A:F,6,FALSE),"")</f>
        <v/>
      </c>
      <c r="H104" s="4" t="str">
        <f t="shared" si="2"/>
        <v/>
      </c>
    </row>
    <row r="105" ht="15.75" customHeight="1">
      <c r="A105" s="4"/>
      <c r="B105" s="4"/>
      <c r="C105" s="4"/>
      <c r="D105" s="4" t="str">
        <f>IF(A105="","",SUMIF(Anbar_Idxal!G:G,A105,Anbar_Idxal!H:H))</f>
        <v/>
      </c>
      <c r="E105" s="4" t="str">
        <f>IF(A105="","",SUMIF(Satislar!E:E,A105,Satislar!G:G))</f>
        <v/>
      </c>
      <c r="F105" s="4" t="str">
        <f t="shared" si="1"/>
        <v/>
      </c>
      <c r="G105" s="4" t="str">
        <f>IFERROR(VLOOKUP(A105,Mehsullar!A:F,6,FALSE),"")</f>
        <v/>
      </c>
      <c r="H105" s="4" t="str">
        <f t="shared" si="2"/>
        <v/>
      </c>
    </row>
    <row r="106" ht="15.75" customHeight="1">
      <c r="A106" s="4"/>
      <c r="B106" s="4"/>
      <c r="C106" s="4"/>
      <c r="D106" s="4" t="str">
        <f>IF(A106="","",SUMIF(Anbar_Idxal!G:G,A106,Anbar_Idxal!H:H))</f>
        <v/>
      </c>
      <c r="E106" s="4" t="str">
        <f>IF(A106="","",SUMIF(Satislar!E:E,A106,Satislar!G:G))</f>
        <v/>
      </c>
      <c r="F106" s="4" t="str">
        <f t="shared" si="1"/>
        <v/>
      </c>
      <c r="G106" s="4" t="str">
        <f>IFERROR(VLOOKUP(A106,Mehsullar!A:F,6,FALSE),"")</f>
        <v/>
      </c>
      <c r="H106" s="4" t="str">
        <f t="shared" si="2"/>
        <v/>
      </c>
    </row>
    <row r="107" ht="15.75" customHeight="1">
      <c r="A107" s="4"/>
      <c r="B107" s="4"/>
      <c r="C107" s="4"/>
      <c r="D107" s="4" t="str">
        <f>IF(A107="","",SUMIF(Anbar_Idxal!G:G,A107,Anbar_Idxal!H:H))</f>
        <v/>
      </c>
      <c r="E107" s="4" t="str">
        <f>IF(A107="","",SUMIF(Satislar!E:E,A107,Satislar!G:G))</f>
        <v/>
      </c>
      <c r="F107" s="4" t="str">
        <f t="shared" si="1"/>
        <v/>
      </c>
      <c r="G107" s="4" t="str">
        <f>IFERROR(VLOOKUP(A107,Mehsullar!A:F,6,FALSE),"")</f>
        <v/>
      </c>
      <c r="H107" s="4" t="str">
        <f t="shared" si="2"/>
        <v/>
      </c>
    </row>
    <row r="108" ht="15.75" customHeight="1">
      <c r="A108" s="4"/>
      <c r="B108" s="4"/>
      <c r="C108" s="4"/>
      <c r="D108" s="4" t="str">
        <f>IF(A108="","",SUMIF(Anbar_Idxal!G:G,A108,Anbar_Idxal!H:H))</f>
        <v/>
      </c>
      <c r="E108" s="4" t="str">
        <f>IF(A108="","",SUMIF(Satislar!E:E,A108,Satislar!G:G))</f>
        <v/>
      </c>
      <c r="F108" s="4" t="str">
        <f t="shared" si="1"/>
        <v/>
      </c>
      <c r="G108" s="4" t="str">
        <f>IFERROR(VLOOKUP(A108,Mehsullar!A:F,6,FALSE),"")</f>
        <v/>
      </c>
      <c r="H108" s="4" t="str">
        <f t="shared" si="2"/>
        <v/>
      </c>
    </row>
    <row r="109" ht="15.75" customHeight="1">
      <c r="A109" s="4"/>
      <c r="B109" s="4"/>
      <c r="C109" s="4"/>
      <c r="D109" s="4" t="str">
        <f>IF(A109="","",SUMIF(Anbar_Idxal!G:G,A109,Anbar_Idxal!H:H))</f>
        <v/>
      </c>
      <c r="E109" s="4" t="str">
        <f>IF(A109="","",SUMIF(Satislar!E:E,A109,Satislar!G:G))</f>
        <v/>
      </c>
      <c r="F109" s="4" t="str">
        <f t="shared" si="1"/>
        <v/>
      </c>
      <c r="G109" s="4" t="str">
        <f>IFERROR(VLOOKUP(A109,Mehsullar!A:F,6,FALSE),"")</f>
        <v/>
      </c>
      <c r="H109" s="4" t="str">
        <f t="shared" si="2"/>
        <v/>
      </c>
    </row>
    <row r="110" ht="15.75" customHeight="1">
      <c r="A110" s="4"/>
      <c r="B110" s="4"/>
      <c r="C110" s="4"/>
      <c r="D110" s="4" t="str">
        <f>IF(A110="","",SUMIF(Anbar_Idxal!G:G,A110,Anbar_Idxal!H:H))</f>
        <v/>
      </c>
      <c r="E110" s="4" t="str">
        <f>IF(A110="","",SUMIF(Satislar!E:E,A110,Satislar!G:G))</f>
        <v/>
      </c>
      <c r="F110" s="4" t="str">
        <f t="shared" si="1"/>
        <v/>
      </c>
      <c r="G110" s="4" t="str">
        <f>IFERROR(VLOOKUP(A110,Mehsullar!A:F,6,FALSE),"")</f>
        <v/>
      </c>
      <c r="H110" s="4" t="str">
        <f t="shared" si="2"/>
        <v/>
      </c>
    </row>
    <row r="111" ht="15.75" customHeight="1">
      <c r="A111" s="4"/>
      <c r="B111" s="4"/>
      <c r="C111" s="4"/>
      <c r="D111" s="4" t="str">
        <f>IF(A111="","",SUMIF(Anbar_Idxal!G:G,A111,Anbar_Idxal!H:H))</f>
        <v/>
      </c>
      <c r="E111" s="4" t="str">
        <f>IF(A111="","",SUMIF(Satislar!E:E,A111,Satislar!G:G))</f>
        <v/>
      </c>
      <c r="F111" s="4" t="str">
        <f t="shared" si="1"/>
        <v/>
      </c>
      <c r="G111" s="4" t="str">
        <f>IFERROR(VLOOKUP(A111,Mehsullar!A:F,6,FALSE),"")</f>
        <v/>
      </c>
      <c r="H111" s="4" t="str">
        <f t="shared" si="2"/>
        <v/>
      </c>
    </row>
    <row r="112" ht="15.75" customHeight="1">
      <c r="A112" s="4"/>
      <c r="B112" s="4"/>
      <c r="C112" s="4"/>
      <c r="D112" s="4" t="str">
        <f>IF(A112="","",SUMIF(Anbar_Idxal!G:G,A112,Anbar_Idxal!H:H))</f>
        <v/>
      </c>
      <c r="E112" s="4" t="str">
        <f>IF(A112="","",SUMIF(Satislar!E:E,A112,Satislar!G:G))</f>
        <v/>
      </c>
      <c r="F112" s="4" t="str">
        <f t="shared" si="1"/>
        <v/>
      </c>
      <c r="G112" s="4" t="str">
        <f>IFERROR(VLOOKUP(A112,Mehsullar!A:F,6,FALSE),"")</f>
        <v/>
      </c>
      <c r="H112" s="4" t="str">
        <f t="shared" si="2"/>
        <v/>
      </c>
    </row>
    <row r="113" ht="15.75" customHeight="1">
      <c r="A113" s="4"/>
      <c r="B113" s="4"/>
      <c r="C113" s="4"/>
      <c r="D113" s="4" t="str">
        <f>IF(A113="","",SUMIF(Anbar_Idxal!G:G,A113,Anbar_Idxal!H:H))</f>
        <v/>
      </c>
      <c r="E113" s="4" t="str">
        <f>IF(A113="","",SUMIF(Satislar!E:E,A113,Satislar!G:G))</f>
        <v/>
      </c>
      <c r="F113" s="4" t="str">
        <f t="shared" si="1"/>
        <v/>
      </c>
      <c r="G113" s="4" t="str">
        <f>IFERROR(VLOOKUP(A113,Mehsullar!A:F,6,FALSE),"")</f>
        <v/>
      </c>
      <c r="H113" s="4" t="str">
        <f t="shared" si="2"/>
        <v/>
      </c>
    </row>
    <row r="114" ht="15.75" customHeight="1">
      <c r="A114" s="4"/>
      <c r="B114" s="4"/>
      <c r="C114" s="4"/>
      <c r="D114" s="4" t="str">
        <f>IF(A114="","",SUMIF(Anbar_Idxal!G:G,A114,Anbar_Idxal!H:H))</f>
        <v/>
      </c>
      <c r="E114" s="4" t="str">
        <f>IF(A114="","",SUMIF(Satislar!E:E,A114,Satislar!G:G))</f>
        <v/>
      </c>
      <c r="F114" s="4" t="str">
        <f t="shared" si="1"/>
        <v/>
      </c>
      <c r="G114" s="4" t="str">
        <f>IFERROR(VLOOKUP(A114,Mehsullar!A:F,6,FALSE),"")</f>
        <v/>
      </c>
      <c r="H114" s="4" t="str">
        <f t="shared" si="2"/>
        <v/>
      </c>
    </row>
    <row r="115" ht="15.75" customHeight="1">
      <c r="A115" s="4"/>
      <c r="B115" s="4"/>
      <c r="C115" s="4"/>
      <c r="D115" s="4" t="str">
        <f>IF(A115="","",SUMIF(Anbar_Idxal!G:G,A115,Anbar_Idxal!H:H))</f>
        <v/>
      </c>
      <c r="E115" s="4" t="str">
        <f>IF(A115="","",SUMIF(Satislar!E:E,A115,Satislar!G:G))</f>
        <v/>
      </c>
      <c r="F115" s="4" t="str">
        <f t="shared" si="1"/>
        <v/>
      </c>
      <c r="G115" s="4" t="str">
        <f>IFERROR(VLOOKUP(A115,Mehsullar!A:F,6,FALSE),"")</f>
        <v/>
      </c>
      <c r="H115" s="4" t="str">
        <f t="shared" si="2"/>
        <v/>
      </c>
    </row>
    <row r="116" ht="15.75" customHeight="1">
      <c r="A116" s="4"/>
      <c r="B116" s="4"/>
      <c r="C116" s="4"/>
      <c r="D116" s="4" t="str">
        <f>IF(A116="","",SUMIF(Anbar_Idxal!G:G,A116,Anbar_Idxal!H:H))</f>
        <v/>
      </c>
      <c r="E116" s="4" t="str">
        <f>IF(A116="","",SUMIF(Satislar!E:E,A116,Satislar!G:G))</f>
        <v/>
      </c>
      <c r="F116" s="4" t="str">
        <f t="shared" si="1"/>
        <v/>
      </c>
      <c r="G116" s="4" t="str">
        <f>IFERROR(VLOOKUP(A116,Mehsullar!A:F,6,FALSE),"")</f>
        <v/>
      </c>
      <c r="H116" s="4" t="str">
        <f t="shared" si="2"/>
        <v/>
      </c>
    </row>
    <row r="117" ht="15.75" customHeight="1">
      <c r="A117" s="4"/>
      <c r="B117" s="4"/>
      <c r="C117" s="4"/>
      <c r="D117" s="4" t="str">
        <f>IF(A117="","",SUMIF(Anbar_Idxal!G:G,A117,Anbar_Idxal!H:H))</f>
        <v/>
      </c>
      <c r="E117" s="4" t="str">
        <f>IF(A117="","",SUMIF(Satislar!E:E,A117,Satislar!G:G))</f>
        <v/>
      </c>
      <c r="F117" s="4" t="str">
        <f t="shared" si="1"/>
        <v/>
      </c>
      <c r="G117" s="4" t="str">
        <f>IFERROR(VLOOKUP(A117,Mehsullar!A:F,6,FALSE),"")</f>
        <v/>
      </c>
      <c r="H117" s="4" t="str">
        <f t="shared" si="2"/>
        <v/>
      </c>
    </row>
    <row r="118" ht="15.75" customHeight="1">
      <c r="A118" s="4"/>
      <c r="B118" s="4"/>
      <c r="C118" s="4"/>
      <c r="D118" s="4" t="str">
        <f>IF(A118="","",SUMIF(Anbar_Idxal!G:G,A118,Anbar_Idxal!H:H))</f>
        <v/>
      </c>
      <c r="E118" s="4" t="str">
        <f>IF(A118="","",SUMIF(Satislar!E:E,A118,Satislar!G:G))</f>
        <v/>
      </c>
      <c r="F118" s="4" t="str">
        <f t="shared" si="1"/>
        <v/>
      </c>
      <c r="G118" s="4" t="str">
        <f>IFERROR(VLOOKUP(A118,Mehsullar!A:F,6,FALSE),"")</f>
        <v/>
      </c>
      <c r="H118" s="4" t="str">
        <f t="shared" si="2"/>
        <v/>
      </c>
    </row>
    <row r="119" ht="15.75" customHeight="1">
      <c r="A119" s="4"/>
      <c r="B119" s="4"/>
      <c r="C119" s="4"/>
      <c r="D119" s="4" t="str">
        <f>IF(A119="","",SUMIF(Anbar_Idxal!G:G,A119,Anbar_Idxal!H:H))</f>
        <v/>
      </c>
      <c r="E119" s="4" t="str">
        <f>IF(A119="","",SUMIF(Satislar!E:E,A119,Satislar!G:G))</f>
        <v/>
      </c>
      <c r="F119" s="4" t="str">
        <f t="shared" si="1"/>
        <v/>
      </c>
      <c r="G119" s="4" t="str">
        <f>IFERROR(VLOOKUP(A119,Mehsullar!A:F,6,FALSE),"")</f>
        <v/>
      </c>
      <c r="H119" s="4" t="str">
        <f t="shared" si="2"/>
        <v/>
      </c>
    </row>
    <row r="120" ht="15.75" customHeight="1">
      <c r="A120" s="4"/>
      <c r="B120" s="4"/>
      <c r="C120" s="4"/>
      <c r="D120" s="4" t="str">
        <f>IF(A120="","",SUMIF(Anbar_Idxal!G:G,A120,Anbar_Idxal!H:H))</f>
        <v/>
      </c>
      <c r="E120" s="4" t="str">
        <f>IF(A120="","",SUMIF(Satislar!E:E,A120,Satislar!G:G))</f>
        <v/>
      </c>
      <c r="F120" s="4" t="str">
        <f t="shared" si="1"/>
        <v/>
      </c>
      <c r="G120" s="4" t="str">
        <f>IFERROR(VLOOKUP(A120,Mehsullar!A:F,6,FALSE),"")</f>
        <v/>
      </c>
      <c r="H120" s="4" t="str">
        <f t="shared" si="2"/>
        <v/>
      </c>
    </row>
    <row r="121" ht="15.75" customHeight="1">
      <c r="A121" s="4"/>
      <c r="B121" s="4"/>
      <c r="C121" s="4"/>
      <c r="D121" s="4" t="str">
        <f>IF(A121="","",SUMIF(Anbar_Idxal!G:G,A121,Anbar_Idxal!H:H))</f>
        <v/>
      </c>
      <c r="E121" s="4" t="str">
        <f>IF(A121="","",SUMIF(Satislar!E:E,A121,Satislar!G:G))</f>
        <v/>
      </c>
      <c r="F121" s="4" t="str">
        <f t="shared" si="1"/>
        <v/>
      </c>
      <c r="G121" s="4" t="str">
        <f>IFERROR(VLOOKUP(A121,Mehsullar!A:F,6,FALSE),"")</f>
        <v/>
      </c>
      <c r="H121" s="4" t="str">
        <f t="shared" si="2"/>
        <v/>
      </c>
    </row>
    <row r="122" ht="15.75" customHeight="1">
      <c r="A122" s="4"/>
      <c r="B122" s="4"/>
      <c r="C122" s="4"/>
      <c r="D122" s="4" t="str">
        <f>IF(A122="","",SUMIF(Anbar_Idxal!G:G,A122,Anbar_Idxal!H:H))</f>
        <v/>
      </c>
      <c r="E122" s="4" t="str">
        <f>IF(A122="","",SUMIF(Satislar!E:E,A122,Satislar!G:G))</f>
        <v/>
      </c>
      <c r="F122" s="4" t="str">
        <f t="shared" si="1"/>
        <v/>
      </c>
      <c r="G122" s="4" t="str">
        <f>IFERROR(VLOOKUP(A122,Mehsullar!A:F,6,FALSE),"")</f>
        <v/>
      </c>
      <c r="H122" s="4" t="str">
        <f t="shared" si="2"/>
        <v/>
      </c>
    </row>
    <row r="123" ht="15.75" customHeight="1">
      <c r="A123" s="4"/>
      <c r="B123" s="4"/>
      <c r="C123" s="4"/>
      <c r="D123" s="4" t="str">
        <f>IF(A123="","",SUMIF(Anbar_Idxal!G:G,A123,Anbar_Idxal!H:H))</f>
        <v/>
      </c>
      <c r="E123" s="4" t="str">
        <f>IF(A123="","",SUMIF(Satislar!E:E,A123,Satislar!G:G))</f>
        <v/>
      </c>
      <c r="F123" s="4" t="str">
        <f t="shared" si="1"/>
        <v/>
      </c>
      <c r="G123" s="4" t="str">
        <f>IFERROR(VLOOKUP(A123,Mehsullar!A:F,6,FALSE),"")</f>
        <v/>
      </c>
      <c r="H123" s="4" t="str">
        <f t="shared" si="2"/>
        <v/>
      </c>
    </row>
    <row r="124" ht="15.75" customHeight="1">
      <c r="A124" s="4"/>
      <c r="B124" s="4"/>
      <c r="C124" s="4"/>
      <c r="D124" s="4" t="str">
        <f>IF(A124="","",SUMIF(Anbar_Idxal!G:G,A124,Anbar_Idxal!H:H))</f>
        <v/>
      </c>
      <c r="E124" s="4" t="str">
        <f>IF(A124="","",SUMIF(Satislar!E:E,A124,Satislar!G:G))</f>
        <v/>
      </c>
      <c r="F124" s="4" t="str">
        <f t="shared" si="1"/>
        <v/>
      </c>
      <c r="G124" s="4" t="str">
        <f>IFERROR(VLOOKUP(A124,Mehsullar!A:F,6,FALSE),"")</f>
        <v/>
      </c>
      <c r="H124" s="4" t="str">
        <f t="shared" si="2"/>
        <v/>
      </c>
    </row>
    <row r="125" ht="15.75" customHeight="1">
      <c r="A125" s="4"/>
      <c r="B125" s="4"/>
      <c r="C125" s="4"/>
      <c r="D125" s="4" t="str">
        <f>IF(A125="","",SUMIF(Anbar_Idxal!G:G,A125,Anbar_Idxal!H:H))</f>
        <v/>
      </c>
      <c r="E125" s="4" t="str">
        <f>IF(A125="","",SUMIF(Satislar!E:E,A125,Satislar!G:G))</f>
        <v/>
      </c>
      <c r="F125" s="4" t="str">
        <f t="shared" si="1"/>
        <v/>
      </c>
      <c r="G125" s="4" t="str">
        <f>IFERROR(VLOOKUP(A125,Mehsullar!A:F,6,FALSE),"")</f>
        <v/>
      </c>
      <c r="H125" s="4" t="str">
        <f t="shared" si="2"/>
        <v/>
      </c>
    </row>
    <row r="126" ht="15.75" customHeight="1">
      <c r="A126" s="4"/>
      <c r="B126" s="4"/>
      <c r="C126" s="4"/>
      <c r="D126" s="4" t="str">
        <f>IF(A126="","",SUMIF(Anbar_Idxal!G:G,A126,Anbar_Idxal!H:H))</f>
        <v/>
      </c>
      <c r="E126" s="4" t="str">
        <f>IF(A126="","",SUMIF(Satislar!E:E,A126,Satislar!G:G))</f>
        <v/>
      </c>
      <c r="F126" s="4" t="str">
        <f t="shared" si="1"/>
        <v/>
      </c>
      <c r="G126" s="4" t="str">
        <f>IFERROR(VLOOKUP(A126,Mehsullar!A:F,6,FALSE),"")</f>
        <v/>
      </c>
      <c r="H126" s="4" t="str">
        <f t="shared" si="2"/>
        <v/>
      </c>
    </row>
    <row r="127" ht="15.75" customHeight="1">
      <c r="A127" s="4"/>
      <c r="B127" s="4"/>
      <c r="C127" s="4"/>
      <c r="D127" s="4" t="str">
        <f>IF(A127="","",SUMIF(Anbar_Idxal!G:G,A127,Anbar_Idxal!H:H))</f>
        <v/>
      </c>
      <c r="E127" s="4" t="str">
        <f>IF(A127="","",SUMIF(Satislar!E:E,A127,Satislar!G:G))</f>
        <v/>
      </c>
      <c r="F127" s="4" t="str">
        <f t="shared" si="1"/>
        <v/>
      </c>
      <c r="G127" s="4" t="str">
        <f>IFERROR(VLOOKUP(A127,Mehsullar!A:F,6,FALSE),"")</f>
        <v/>
      </c>
      <c r="H127" s="4" t="str">
        <f t="shared" si="2"/>
        <v/>
      </c>
    </row>
    <row r="128" ht="15.75" customHeight="1">
      <c r="A128" s="4"/>
      <c r="B128" s="4"/>
      <c r="C128" s="4"/>
      <c r="D128" s="4" t="str">
        <f>IF(A128="","",SUMIF(Anbar_Idxal!G:G,A128,Anbar_Idxal!H:H))</f>
        <v/>
      </c>
      <c r="E128" s="4" t="str">
        <f>IF(A128="","",SUMIF(Satislar!E:E,A128,Satislar!G:G))</f>
        <v/>
      </c>
      <c r="F128" s="4" t="str">
        <f t="shared" si="1"/>
        <v/>
      </c>
      <c r="G128" s="4" t="str">
        <f>IFERROR(VLOOKUP(A128,Mehsullar!A:F,6,FALSE),"")</f>
        <v/>
      </c>
      <c r="H128" s="4" t="str">
        <f t="shared" si="2"/>
        <v/>
      </c>
    </row>
    <row r="129" ht="15.75" customHeight="1">
      <c r="A129" s="4"/>
      <c r="B129" s="4"/>
      <c r="C129" s="4"/>
      <c r="D129" s="4" t="str">
        <f>IF(A129="","",SUMIF(Anbar_Idxal!G:G,A129,Anbar_Idxal!H:H))</f>
        <v/>
      </c>
      <c r="E129" s="4" t="str">
        <f>IF(A129="","",SUMIF(Satislar!E:E,A129,Satislar!G:G))</f>
        <v/>
      </c>
      <c r="F129" s="4" t="str">
        <f t="shared" si="1"/>
        <v/>
      </c>
      <c r="G129" s="4" t="str">
        <f>IFERROR(VLOOKUP(A129,Mehsullar!A:F,6,FALSE),"")</f>
        <v/>
      </c>
      <c r="H129" s="4" t="str">
        <f t="shared" si="2"/>
        <v/>
      </c>
    </row>
    <row r="130" ht="15.75" customHeight="1">
      <c r="A130" s="4"/>
      <c r="B130" s="4"/>
      <c r="C130" s="4"/>
      <c r="D130" s="4" t="str">
        <f>IF(A130="","",SUMIF(Anbar_Idxal!G:G,A130,Anbar_Idxal!H:H))</f>
        <v/>
      </c>
      <c r="E130" s="4" t="str">
        <f>IF(A130="","",SUMIF(Satislar!E:E,A130,Satislar!G:G))</f>
        <v/>
      </c>
      <c r="F130" s="4" t="str">
        <f t="shared" si="1"/>
        <v/>
      </c>
      <c r="G130" s="4" t="str">
        <f>IFERROR(VLOOKUP(A130,Mehsullar!A:F,6,FALSE),"")</f>
        <v/>
      </c>
      <c r="H130" s="4" t="str">
        <f t="shared" si="2"/>
        <v/>
      </c>
    </row>
    <row r="131" ht="15.75" customHeight="1">
      <c r="A131" s="4"/>
      <c r="B131" s="4"/>
      <c r="C131" s="4"/>
      <c r="D131" s="4" t="str">
        <f>IF(A131="","",SUMIF(Anbar_Idxal!G:G,A131,Anbar_Idxal!H:H))</f>
        <v/>
      </c>
      <c r="E131" s="4" t="str">
        <f>IF(A131="","",SUMIF(Satislar!E:E,A131,Satislar!G:G))</f>
        <v/>
      </c>
      <c r="F131" s="4" t="str">
        <f t="shared" si="1"/>
        <v/>
      </c>
      <c r="G131" s="4" t="str">
        <f>IFERROR(VLOOKUP(A131,Mehsullar!A:F,6,FALSE),"")</f>
        <v/>
      </c>
      <c r="H131" s="4" t="str">
        <f t="shared" si="2"/>
        <v/>
      </c>
    </row>
    <row r="132" ht="15.75" customHeight="1">
      <c r="A132" s="4"/>
      <c r="B132" s="4"/>
      <c r="C132" s="4"/>
      <c r="D132" s="4" t="str">
        <f>IF(A132="","",SUMIF(Anbar_Idxal!G:G,A132,Anbar_Idxal!H:H))</f>
        <v/>
      </c>
      <c r="E132" s="4" t="str">
        <f>IF(A132="","",SUMIF(Satislar!E:E,A132,Satislar!G:G))</f>
        <v/>
      </c>
      <c r="F132" s="4" t="str">
        <f t="shared" si="1"/>
        <v/>
      </c>
      <c r="G132" s="4" t="str">
        <f>IFERROR(VLOOKUP(A132,Mehsullar!A:F,6,FALSE),"")</f>
        <v/>
      </c>
      <c r="H132" s="4" t="str">
        <f t="shared" si="2"/>
        <v/>
      </c>
    </row>
    <row r="133" ht="15.75" customHeight="1">
      <c r="A133" s="4"/>
      <c r="B133" s="4"/>
      <c r="C133" s="4"/>
      <c r="D133" s="4" t="str">
        <f>IF(A133="","",SUMIF(Anbar_Idxal!G:G,A133,Anbar_Idxal!H:H))</f>
        <v/>
      </c>
      <c r="E133" s="4" t="str">
        <f>IF(A133="","",SUMIF(Satislar!E:E,A133,Satislar!G:G))</f>
        <v/>
      </c>
      <c r="F133" s="4" t="str">
        <f t="shared" si="1"/>
        <v/>
      </c>
      <c r="G133" s="4" t="str">
        <f>IFERROR(VLOOKUP(A133,Mehsullar!A:F,6,FALSE),"")</f>
        <v/>
      </c>
      <c r="H133" s="4" t="str">
        <f t="shared" si="2"/>
        <v/>
      </c>
    </row>
    <row r="134" ht="15.75" customHeight="1">
      <c r="A134" s="4"/>
      <c r="B134" s="4"/>
      <c r="C134" s="4"/>
      <c r="D134" s="4" t="str">
        <f>IF(A134="","",SUMIF(Anbar_Idxal!G:G,A134,Anbar_Idxal!H:H))</f>
        <v/>
      </c>
      <c r="E134" s="4" t="str">
        <f>IF(A134="","",SUMIF(Satislar!E:E,A134,Satislar!G:G))</f>
        <v/>
      </c>
      <c r="F134" s="4" t="str">
        <f t="shared" si="1"/>
        <v/>
      </c>
      <c r="G134" s="4" t="str">
        <f>IFERROR(VLOOKUP(A134,Mehsullar!A:F,6,FALSE),"")</f>
        <v/>
      </c>
      <c r="H134" s="4" t="str">
        <f t="shared" si="2"/>
        <v/>
      </c>
    </row>
    <row r="135" ht="15.75" customHeight="1">
      <c r="A135" s="4"/>
      <c r="B135" s="4"/>
      <c r="C135" s="4"/>
      <c r="D135" s="4" t="str">
        <f>IF(A135="","",SUMIF(Anbar_Idxal!G:G,A135,Anbar_Idxal!H:H))</f>
        <v/>
      </c>
      <c r="E135" s="4" t="str">
        <f>IF(A135="","",SUMIF(Satislar!E:E,A135,Satislar!G:G))</f>
        <v/>
      </c>
      <c r="F135" s="4" t="str">
        <f t="shared" si="1"/>
        <v/>
      </c>
      <c r="G135" s="4" t="str">
        <f>IFERROR(VLOOKUP(A135,Mehsullar!A:F,6,FALSE),"")</f>
        <v/>
      </c>
      <c r="H135" s="4" t="str">
        <f t="shared" si="2"/>
        <v/>
      </c>
    </row>
    <row r="136" ht="15.75" customHeight="1">
      <c r="A136" s="4"/>
      <c r="B136" s="4"/>
      <c r="C136" s="4"/>
      <c r="D136" s="4" t="str">
        <f>IF(A136="","",SUMIF(Anbar_Idxal!G:G,A136,Anbar_Idxal!H:H))</f>
        <v/>
      </c>
      <c r="E136" s="4" t="str">
        <f>IF(A136="","",SUMIF(Satislar!E:E,A136,Satislar!G:G))</f>
        <v/>
      </c>
      <c r="F136" s="4" t="str">
        <f t="shared" si="1"/>
        <v/>
      </c>
      <c r="G136" s="4" t="str">
        <f>IFERROR(VLOOKUP(A136,Mehsullar!A:F,6,FALSE),"")</f>
        <v/>
      </c>
      <c r="H136" s="4" t="str">
        <f t="shared" si="2"/>
        <v/>
      </c>
    </row>
    <row r="137" ht="15.75" customHeight="1">
      <c r="A137" s="4"/>
      <c r="B137" s="4"/>
      <c r="C137" s="4"/>
      <c r="D137" s="4" t="str">
        <f>IF(A137="","",SUMIF(Anbar_Idxal!G:G,A137,Anbar_Idxal!H:H))</f>
        <v/>
      </c>
      <c r="E137" s="4" t="str">
        <f>IF(A137="","",SUMIF(Satislar!E:E,A137,Satislar!G:G))</f>
        <v/>
      </c>
      <c r="F137" s="4" t="str">
        <f t="shared" si="1"/>
        <v/>
      </c>
      <c r="G137" s="4" t="str">
        <f>IFERROR(VLOOKUP(A137,Mehsullar!A:F,6,FALSE),"")</f>
        <v/>
      </c>
      <c r="H137" s="4" t="str">
        <f t="shared" si="2"/>
        <v/>
      </c>
    </row>
    <row r="138" ht="15.75" customHeight="1">
      <c r="A138" s="4"/>
      <c r="B138" s="4"/>
      <c r="C138" s="4"/>
      <c r="D138" s="4" t="str">
        <f>IF(A138="","",SUMIF(Anbar_Idxal!G:G,A138,Anbar_Idxal!H:H))</f>
        <v/>
      </c>
      <c r="E138" s="4" t="str">
        <f>IF(A138="","",SUMIF(Satislar!E:E,A138,Satislar!G:G))</f>
        <v/>
      </c>
      <c r="F138" s="4" t="str">
        <f t="shared" si="1"/>
        <v/>
      </c>
      <c r="G138" s="4" t="str">
        <f>IFERROR(VLOOKUP(A138,Mehsullar!A:F,6,FALSE),"")</f>
        <v/>
      </c>
      <c r="H138" s="4" t="str">
        <f t="shared" si="2"/>
        <v/>
      </c>
    </row>
    <row r="139" ht="15.75" customHeight="1">
      <c r="A139" s="4"/>
      <c r="B139" s="4"/>
      <c r="C139" s="4"/>
      <c r="D139" s="4" t="str">
        <f>IF(A139="","",SUMIF(Anbar_Idxal!G:G,A139,Anbar_Idxal!H:H))</f>
        <v/>
      </c>
      <c r="E139" s="4" t="str">
        <f>IF(A139="","",SUMIF(Satislar!E:E,A139,Satislar!G:G))</f>
        <v/>
      </c>
      <c r="F139" s="4" t="str">
        <f t="shared" si="1"/>
        <v/>
      </c>
      <c r="G139" s="4" t="str">
        <f>IFERROR(VLOOKUP(A139,Mehsullar!A:F,6,FALSE),"")</f>
        <v/>
      </c>
      <c r="H139" s="4" t="str">
        <f t="shared" si="2"/>
        <v/>
      </c>
    </row>
    <row r="140" ht="15.75" customHeight="1">
      <c r="A140" s="4"/>
      <c r="B140" s="4"/>
      <c r="C140" s="4"/>
      <c r="D140" s="4" t="str">
        <f>IF(A140="","",SUMIF(Anbar_Idxal!G:G,A140,Anbar_Idxal!H:H))</f>
        <v/>
      </c>
      <c r="E140" s="4" t="str">
        <f>IF(A140="","",SUMIF(Satislar!E:E,A140,Satislar!G:G))</f>
        <v/>
      </c>
      <c r="F140" s="4" t="str">
        <f t="shared" si="1"/>
        <v/>
      </c>
      <c r="G140" s="4" t="str">
        <f>IFERROR(VLOOKUP(A140,Mehsullar!A:F,6,FALSE),"")</f>
        <v/>
      </c>
      <c r="H140" s="4" t="str">
        <f t="shared" si="2"/>
        <v/>
      </c>
    </row>
    <row r="141" ht="15.75" customHeight="1">
      <c r="A141" s="4"/>
      <c r="B141" s="4"/>
      <c r="C141" s="4"/>
      <c r="D141" s="4" t="str">
        <f>IF(A141="","",SUMIF(Anbar_Idxal!G:G,A141,Anbar_Idxal!H:H))</f>
        <v/>
      </c>
      <c r="E141" s="4" t="str">
        <f>IF(A141="","",SUMIF(Satislar!E:E,A141,Satislar!G:G))</f>
        <v/>
      </c>
      <c r="F141" s="4" t="str">
        <f t="shared" si="1"/>
        <v/>
      </c>
      <c r="G141" s="4" t="str">
        <f>IFERROR(VLOOKUP(A141,Mehsullar!A:F,6,FALSE),"")</f>
        <v/>
      </c>
      <c r="H141" s="4" t="str">
        <f t="shared" si="2"/>
        <v/>
      </c>
    </row>
    <row r="142" ht="15.75" customHeight="1">
      <c r="A142" s="4"/>
      <c r="B142" s="4"/>
      <c r="C142" s="4"/>
      <c r="D142" s="4" t="str">
        <f>IF(A142="","",SUMIF(Anbar_Idxal!G:G,A142,Anbar_Idxal!H:H))</f>
        <v/>
      </c>
      <c r="E142" s="4" t="str">
        <f>IF(A142="","",SUMIF(Satislar!E:E,A142,Satislar!G:G))</f>
        <v/>
      </c>
      <c r="F142" s="4" t="str">
        <f t="shared" si="1"/>
        <v/>
      </c>
      <c r="G142" s="4" t="str">
        <f>IFERROR(VLOOKUP(A142,Mehsullar!A:F,6,FALSE),"")</f>
        <v/>
      </c>
      <c r="H142" s="4" t="str">
        <f t="shared" si="2"/>
        <v/>
      </c>
    </row>
    <row r="143" ht="15.75" customHeight="1">
      <c r="A143" s="4"/>
      <c r="B143" s="4"/>
      <c r="C143" s="4"/>
      <c r="D143" s="4" t="str">
        <f>IF(A143="","",SUMIF(Anbar_Idxal!G:G,A143,Anbar_Idxal!H:H))</f>
        <v/>
      </c>
      <c r="E143" s="4" t="str">
        <f>IF(A143="","",SUMIF(Satislar!E:E,A143,Satislar!G:G))</f>
        <v/>
      </c>
      <c r="F143" s="4" t="str">
        <f t="shared" si="1"/>
        <v/>
      </c>
      <c r="G143" s="4" t="str">
        <f>IFERROR(VLOOKUP(A143,Mehsullar!A:F,6,FALSE),"")</f>
        <v/>
      </c>
      <c r="H143" s="4" t="str">
        <f t="shared" si="2"/>
        <v/>
      </c>
    </row>
    <row r="144" ht="15.75" customHeight="1">
      <c r="A144" s="4"/>
      <c r="B144" s="4"/>
      <c r="C144" s="4"/>
      <c r="D144" s="4" t="str">
        <f>IF(A144="","",SUMIF(Anbar_Idxal!G:G,A144,Anbar_Idxal!H:H))</f>
        <v/>
      </c>
      <c r="E144" s="4" t="str">
        <f>IF(A144="","",SUMIF(Satislar!E:E,A144,Satislar!G:G))</f>
        <v/>
      </c>
      <c r="F144" s="4" t="str">
        <f t="shared" si="1"/>
        <v/>
      </c>
      <c r="G144" s="4" t="str">
        <f>IFERROR(VLOOKUP(A144,Mehsullar!A:F,6,FALSE),"")</f>
        <v/>
      </c>
      <c r="H144" s="4" t="str">
        <f t="shared" si="2"/>
        <v/>
      </c>
    </row>
    <row r="145" ht="15.75" customHeight="1">
      <c r="A145" s="4"/>
      <c r="B145" s="4"/>
      <c r="C145" s="4"/>
      <c r="D145" s="4" t="str">
        <f>IF(A145="","",SUMIF(Anbar_Idxal!G:G,A145,Anbar_Idxal!H:H))</f>
        <v/>
      </c>
      <c r="E145" s="4" t="str">
        <f>IF(A145="","",SUMIF(Satislar!E:E,A145,Satislar!G:G))</f>
        <v/>
      </c>
      <c r="F145" s="4" t="str">
        <f t="shared" si="1"/>
        <v/>
      </c>
      <c r="G145" s="4" t="str">
        <f>IFERROR(VLOOKUP(A145,Mehsullar!A:F,6,FALSE),"")</f>
        <v/>
      </c>
      <c r="H145" s="4" t="str">
        <f t="shared" si="2"/>
        <v/>
      </c>
    </row>
    <row r="146" ht="15.75" customHeight="1">
      <c r="A146" s="4"/>
      <c r="B146" s="4"/>
      <c r="C146" s="4"/>
      <c r="D146" s="4" t="str">
        <f>IF(A146="","",SUMIF(Anbar_Idxal!G:G,A146,Anbar_Idxal!H:H))</f>
        <v/>
      </c>
      <c r="E146" s="4" t="str">
        <f>IF(A146="","",SUMIF(Satislar!E:E,A146,Satislar!G:G))</f>
        <v/>
      </c>
      <c r="F146" s="4" t="str">
        <f t="shared" si="1"/>
        <v/>
      </c>
      <c r="G146" s="4" t="str">
        <f>IFERROR(VLOOKUP(A146,Mehsullar!A:F,6,FALSE),"")</f>
        <v/>
      </c>
      <c r="H146" s="4" t="str">
        <f t="shared" si="2"/>
        <v/>
      </c>
    </row>
    <row r="147" ht="15.75" customHeight="1">
      <c r="A147" s="4"/>
      <c r="B147" s="4"/>
      <c r="C147" s="4"/>
      <c r="D147" s="4" t="str">
        <f>IF(A147="","",SUMIF(Anbar_Idxal!G:G,A147,Anbar_Idxal!H:H))</f>
        <v/>
      </c>
      <c r="E147" s="4" t="str">
        <f>IF(A147="","",SUMIF(Satislar!E:E,A147,Satislar!G:G))</f>
        <v/>
      </c>
      <c r="F147" s="4" t="str">
        <f t="shared" si="1"/>
        <v/>
      </c>
      <c r="G147" s="4" t="str">
        <f>IFERROR(VLOOKUP(A147,Mehsullar!A:F,6,FALSE),"")</f>
        <v/>
      </c>
      <c r="H147" s="4" t="str">
        <f t="shared" si="2"/>
        <v/>
      </c>
    </row>
    <row r="148" ht="15.75" customHeight="1">
      <c r="A148" s="4"/>
      <c r="B148" s="4"/>
      <c r="C148" s="4"/>
      <c r="D148" s="4" t="str">
        <f>IF(A148="","",SUMIF(Anbar_Idxal!G:G,A148,Anbar_Idxal!H:H))</f>
        <v/>
      </c>
      <c r="E148" s="4" t="str">
        <f>IF(A148="","",SUMIF(Satislar!E:E,A148,Satislar!G:G))</f>
        <v/>
      </c>
      <c r="F148" s="4" t="str">
        <f t="shared" si="1"/>
        <v/>
      </c>
      <c r="G148" s="4" t="str">
        <f>IFERROR(VLOOKUP(A148,Mehsullar!A:F,6,FALSE),"")</f>
        <v/>
      </c>
      <c r="H148" s="4" t="str">
        <f t="shared" si="2"/>
        <v/>
      </c>
    </row>
    <row r="149" ht="15.75" customHeight="1">
      <c r="A149" s="4"/>
      <c r="B149" s="4"/>
      <c r="C149" s="4"/>
      <c r="D149" s="4" t="str">
        <f>IF(A149="","",SUMIF(Anbar_Idxal!G:G,A149,Anbar_Idxal!H:H))</f>
        <v/>
      </c>
      <c r="E149" s="4" t="str">
        <f>IF(A149="","",SUMIF(Satislar!E:E,A149,Satislar!G:G))</f>
        <v/>
      </c>
      <c r="F149" s="4" t="str">
        <f t="shared" si="1"/>
        <v/>
      </c>
      <c r="G149" s="4" t="str">
        <f>IFERROR(VLOOKUP(A149,Mehsullar!A:F,6,FALSE),"")</f>
        <v/>
      </c>
      <c r="H149" s="4" t="str">
        <f t="shared" si="2"/>
        <v/>
      </c>
    </row>
    <row r="150" ht="15.75" customHeight="1">
      <c r="A150" s="4"/>
      <c r="B150" s="4"/>
      <c r="C150" s="4"/>
      <c r="D150" s="4" t="str">
        <f>IF(A150="","",SUMIF(Anbar_Idxal!G:G,A150,Anbar_Idxal!H:H))</f>
        <v/>
      </c>
      <c r="E150" s="4" t="str">
        <f>IF(A150="","",SUMIF(Satislar!E:E,A150,Satislar!G:G))</f>
        <v/>
      </c>
      <c r="F150" s="4" t="str">
        <f t="shared" si="1"/>
        <v/>
      </c>
      <c r="G150" s="4" t="str">
        <f>IFERROR(VLOOKUP(A150,Mehsullar!A:F,6,FALSE),"")</f>
        <v/>
      </c>
      <c r="H150" s="4" t="str">
        <f t="shared" si="2"/>
        <v/>
      </c>
    </row>
    <row r="151" ht="15.75" customHeight="1">
      <c r="A151" s="4"/>
      <c r="B151" s="4"/>
      <c r="C151" s="4"/>
      <c r="D151" s="4" t="str">
        <f>IF(A151="","",SUMIF(Anbar_Idxal!G:G,A151,Anbar_Idxal!H:H))</f>
        <v/>
      </c>
      <c r="E151" s="4" t="str">
        <f>IF(A151="","",SUMIF(Satislar!E:E,A151,Satislar!G:G))</f>
        <v/>
      </c>
      <c r="F151" s="4" t="str">
        <f t="shared" si="1"/>
        <v/>
      </c>
      <c r="G151" s="4" t="str">
        <f>IFERROR(VLOOKUP(A151,Mehsullar!A:F,6,FALSE),"")</f>
        <v/>
      </c>
      <c r="H151" s="4" t="str">
        <f t="shared" si="2"/>
        <v/>
      </c>
    </row>
    <row r="152" ht="15.75" customHeight="1">
      <c r="A152" s="4"/>
      <c r="B152" s="4"/>
      <c r="C152" s="4"/>
      <c r="D152" s="4" t="str">
        <f>IF(A152="","",SUMIF(Anbar_Idxal!G:G,A152,Anbar_Idxal!H:H))</f>
        <v/>
      </c>
      <c r="E152" s="4" t="str">
        <f>IF(A152="","",SUMIF(Satislar!E:E,A152,Satislar!G:G))</f>
        <v/>
      </c>
      <c r="F152" s="4" t="str">
        <f t="shared" si="1"/>
        <v/>
      </c>
      <c r="G152" s="4" t="str">
        <f>IFERROR(VLOOKUP(A152,Mehsullar!A:F,6,FALSE),"")</f>
        <v/>
      </c>
      <c r="H152" s="4" t="str">
        <f t="shared" si="2"/>
        <v/>
      </c>
    </row>
    <row r="153" ht="15.75" customHeight="1">
      <c r="A153" s="4"/>
      <c r="B153" s="4"/>
      <c r="C153" s="4"/>
      <c r="D153" s="4" t="str">
        <f>IF(A153="","",SUMIF(Anbar_Idxal!G:G,A153,Anbar_Idxal!H:H))</f>
        <v/>
      </c>
      <c r="E153" s="4" t="str">
        <f>IF(A153="","",SUMIF(Satislar!E:E,A153,Satislar!G:G))</f>
        <v/>
      </c>
      <c r="F153" s="4" t="str">
        <f t="shared" si="1"/>
        <v/>
      </c>
      <c r="G153" s="4" t="str">
        <f>IFERROR(VLOOKUP(A153,Mehsullar!A:F,6,FALSE),"")</f>
        <v/>
      </c>
      <c r="H153" s="4" t="str">
        <f t="shared" si="2"/>
        <v/>
      </c>
    </row>
    <row r="154" ht="15.75" customHeight="1">
      <c r="A154" s="4"/>
      <c r="B154" s="4"/>
      <c r="C154" s="4"/>
      <c r="D154" s="4" t="str">
        <f>IF(A154="","",SUMIF(Anbar_Idxal!G:G,A154,Anbar_Idxal!H:H))</f>
        <v/>
      </c>
      <c r="E154" s="4" t="str">
        <f>IF(A154="","",SUMIF(Satislar!E:E,A154,Satislar!G:G))</f>
        <v/>
      </c>
      <c r="F154" s="4" t="str">
        <f t="shared" si="1"/>
        <v/>
      </c>
      <c r="G154" s="4" t="str">
        <f>IFERROR(VLOOKUP(A154,Mehsullar!A:F,6,FALSE),"")</f>
        <v/>
      </c>
      <c r="H154" s="4" t="str">
        <f t="shared" si="2"/>
        <v/>
      </c>
    </row>
    <row r="155" ht="15.75" customHeight="1">
      <c r="A155" s="4"/>
      <c r="B155" s="4"/>
      <c r="C155" s="4"/>
      <c r="D155" s="4" t="str">
        <f>IF(A155="","",SUMIF(Anbar_Idxal!G:G,A155,Anbar_Idxal!H:H))</f>
        <v/>
      </c>
      <c r="E155" s="4" t="str">
        <f>IF(A155="","",SUMIF(Satislar!E:E,A155,Satislar!G:G))</f>
        <v/>
      </c>
      <c r="F155" s="4" t="str">
        <f t="shared" si="1"/>
        <v/>
      </c>
      <c r="G155" s="4" t="str">
        <f>IFERROR(VLOOKUP(A155,Mehsullar!A:F,6,FALSE),"")</f>
        <v/>
      </c>
      <c r="H155" s="4" t="str">
        <f t="shared" si="2"/>
        <v/>
      </c>
    </row>
    <row r="156" ht="15.75" customHeight="1">
      <c r="A156" s="4"/>
      <c r="B156" s="4"/>
      <c r="C156" s="4"/>
      <c r="D156" s="4" t="str">
        <f>IF(A156="","",SUMIF(Anbar_Idxal!G:G,A156,Anbar_Idxal!H:H))</f>
        <v/>
      </c>
      <c r="E156" s="4" t="str">
        <f>IF(A156="","",SUMIF(Satislar!E:E,A156,Satislar!G:G))</f>
        <v/>
      </c>
      <c r="F156" s="4" t="str">
        <f t="shared" si="1"/>
        <v/>
      </c>
      <c r="G156" s="4" t="str">
        <f>IFERROR(VLOOKUP(A156,Mehsullar!A:F,6,FALSE),"")</f>
        <v/>
      </c>
      <c r="H156" s="4" t="str">
        <f t="shared" si="2"/>
        <v/>
      </c>
    </row>
    <row r="157" ht="15.75" customHeight="1">
      <c r="A157" s="4"/>
      <c r="B157" s="4"/>
      <c r="C157" s="4"/>
      <c r="D157" s="4" t="str">
        <f>IF(A157="","",SUMIF(Anbar_Idxal!G:G,A157,Anbar_Idxal!H:H))</f>
        <v/>
      </c>
      <c r="E157" s="4" t="str">
        <f>IF(A157="","",SUMIF(Satislar!E:E,A157,Satislar!G:G))</f>
        <v/>
      </c>
      <c r="F157" s="4" t="str">
        <f t="shared" si="1"/>
        <v/>
      </c>
      <c r="G157" s="4" t="str">
        <f>IFERROR(VLOOKUP(A157,Mehsullar!A:F,6,FALSE),"")</f>
        <v/>
      </c>
      <c r="H157" s="4" t="str">
        <f t="shared" si="2"/>
        <v/>
      </c>
    </row>
    <row r="158" ht="15.75" customHeight="1">
      <c r="A158" s="4"/>
      <c r="B158" s="4"/>
      <c r="C158" s="4"/>
      <c r="D158" s="4" t="str">
        <f>IF(A158="","",SUMIF(Anbar_Idxal!G:G,A158,Anbar_Idxal!H:H))</f>
        <v/>
      </c>
      <c r="E158" s="4" t="str">
        <f>IF(A158="","",SUMIF(Satislar!E:E,A158,Satislar!G:G))</f>
        <v/>
      </c>
      <c r="F158" s="4" t="str">
        <f t="shared" si="1"/>
        <v/>
      </c>
      <c r="G158" s="4" t="str">
        <f>IFERROR(VLOOKUP(A158,Mehsullar!A:F,6,FALSE),"")</f>
        <v/>
      </c>
      <c r="H158" s="4" t="str">
        <f t="shared" si="2"/>
        <v/>
      </c>
    </row>
    <row r="159" ht="15.75" customHeight="1">
      <c r="A159" s="4"/>
      <c r="B159" s="4"/>
      <c r="C159" s="4"/>
      <c r="D159" s="4" t="str">
        <f>IF(A159="","",SUMIF(Anbar_Idxal!G:G,A159,Anbar_Idxal!H:H))</f>
        <v/>
      </c>
      <c r="E159" s="4" t="str">
        <f>IF(A159="","",SUMIF(Satislar!E:E,A159,Satislar!G:G))</f>
        <v/>
      </c>
      <c r="F159" s="4" t="str">
        <f t="shared" si="1"/>
        <v/>
      </c>
      <c r="G159" s="4" t="str">
        <f>IFERROR(VLOOKUP(A159,Mehsullar!A:F,6,FALSE),"")</f>
        <v/>
      </c>
      <c r="H159" s="4" t="str">
        <f t="shared" si="2"/>
        <v/>
      </c>
    </row>
    <row r="160" ht="15.75" customHeight="1">
      <c r="A160" s="4"/>
      <c r="B160" s="4"/>
      <c r="C160" s="4"/>
      <c r="D160" s="4" t="str">
        <f>IF(A160="","",SUMIF(Anbar_Idxal!G:G,A160,Anbar_Idxal!H:H))</f>
        <v/>
      </c>
      <c r="E160" s="4" t="str">
        <f>IF(A160="","",SUMIF(Satislar!E:E,A160,Satislar!G:G))</f>
        <v/>
      </c>
      <c r="F160" s="4" t="str">
        <f t="shared" si="1"/>
        <v/>
      </c>
      <c r="G160" s="4" t="str">
        <f>IFERROR(VLOOKUP(A160,Mehsullar!A:F,6,FALSE),"")</f>
        <v/>
      </c>
      <c r="H160" s="4" t="str">
        <f t="shared" si="2"/>
        <v/>
      </c>
    </row>
    <row r="161" ht="15.75" customHeight="1">
      <c r="A161" s="4"/>
      <c r="B161" s="4"/>
      <c r="C161" s="4"/>
      <c r="D161" s="4" t="str">
        <f>IF(A161="","",SUMIF(Anbar_Idxal!G:G,A161,Anbar_Idxal!H:H))</f>
        <v/>
      </c>
      <c r="E161" s="4" t="str">
        <f>IF(A161="","",SUMIF(Satislar!E:E,A161,Satislar!G:G))</f>
        <v/>
      </c>
      <c r="F161" s="4" t="str">
        <f t="shared" si="1"/>
        <v/>
      </c>
      <c r="G161" s="4" t="str">
        <f>IFERROR(VLOOKUP(A161,Mehsullar!A:F,6,FALSE),"")</f>
        <v/>
      </c>
      <c r="H161" s="4" t="str">
        <f t="shared" si="2"/>
        <v/>
      </c>
    </row>
    <row r="162" ht="15.75" customHeight="1">
      <c r="A162" s="4"/>
      <c r="B162" s="4"/>
      <c r="C162" s="4"/>
      <c r="D162" s="4" t="str">
        <f>IF(A162="","",SUMIF(Anbar_Idxal!G:G,A162,Anbar_Idxal!H:H))</f>
        <v/>
      </c>
      <c r="E162" s="4" t="str">
        <f>IF(A162="","",SUMIF(Satislar!E:E,A162,Satislar!G:G))</f>
        <v/>
      </c>
      <c r="F162" s="4" t="str">
        <f t="shared" si="1"/>
        <v/>
      </c>
      <c r="G162" s="4" t="str">
        <f>IFERROR(VLOOKUP(A162,Mehsullar!A:F,6,FALSE),"")</f>
        <v/>
      </c>
      <c r="H162" s="4" t="str">
        <f t="shared" si="2"/>
        <v/>
      </c>
    </row>
    <row r="163" ht="15.75" customHeight="1">
      <c r="A163" s="4"/>
      <c r="B163" s="4"/>
      <c r="C163" s="4"/>
      <c r="D163" s="4" t="str">
        <f>IF(A163="","",SUMIF(Anbar_Idxal!G:G,A163,Anbar_Idxal!H:H))</f>
        <v/>
      </c>
      <c r="E163" s="4" t="str">
        <f>IF(A163="","",SUMIF(Satislar!E:E,A163,Satislar!G:G))</f>
        <v/>
      </c>
      <c r="F163" s="4" t="str">
        <f t="shared" si="1"/>
        <v/>
      </c>
      <c r="G163" s="4" t="str">
        <f>IFERROR(VLOOKUP(A163,Mehsullar!A:F,6,FALSE),"")</f>
        <v/>
      </c>
      <c r="H163" s="4" t="str">
        <f t="shared" si="2"/>
        <v/>
      </c>
    </row>
    <row r="164" ht="15.75" customHeight="1">
      <c r="A164" s="4"/>
      <c r="B164" s="4"/>
      <c r="C164" s="4"/>
      <c r="D164" s="4" t="str">
        <f>IF(A164="","",SUMIF(Anbar_Idxal!G:G,A164,Anbar_Idxal!H:H))</f>
        <v/>
      </c>
      <c r="E164" s="4" t="str">
        <f>IF(A164="","",SUMIF(Satislar!E:E,A164,Satislar!G:G))</f>
        <v/>
      </c>
      <c r="F164" s="4" t="str">
        <f t="shared" si="1"/>
        <v/>
      </c>
      <c r="G164" s="4" t="str">
        <f>IFERROR(VLOOKUP(A164,Mehsullar!A:F,6,FALSE),"")</f>
        <v/>
      </c>
      <c r="H164" s="4" t="str">
        <f t="shared" si="2"/>
        <v/>
      </c>
    </row>
    <row r="165" ht="15.75" customHeight="1">
      <c r="A165" s="4"/>
      <c r="B165" s="4"/>
      <c r="C165" s="4"/>
      <c r="D165" s="4" t="str">
        <f>IF(A165="","",SUMIF(Anbar_Idxal!G:G,A165,Anbar_Idxal!H:H))</f>
        <v/>
      </c>
      <c r="E165" s="4" t="str">
        <f>IF(A165="","",SUMIF(Satislar!E:E,A165,Satislar!G:G))</f>
        <v/>
      </c>
      <c r="F165" s="4" t="str">
        <f t="shared" si="1"/>
        <v/>
      </c>
      <c r="G165" s="4" t="str">
        <f>IFERROR(VLOOKUP(A165,Mehsullar!A:F,6,FALSE),"")</f>
        <v/>
      </c>
      <c r="H165" s="4" t="str">
        <f t="shared" si="2"/>
        <v/>
      </c>
    </row>
    <row r="166" ht="15.75" customHeight="1">
      <c r="A166" s="4"/>
      <c r="B166" s="4"/>
      <c r="C166" s="4"/>
      <c r="D166" s="4" t="str">
        <f>IF(A166="","",SUMIF(Anbar_Idxal!G:G,A166,Anbar_Idxal!H:H))</f>
        <v/>
      </c>
      <c r="E166" s="4" t="str">
        <f>IF(A166="","",SUMIF(Satislar!E:E,A166,Satislar!G:G))</f>
        <v/>
      </c>
      <c r="F166" s="4" t="str">
        <f t="shared" si="1"/>
        <v/>
      </c>
      <c r="G166" s="4" t="str">
        <f>IFERROR(VLOOKUP(A166,Mehsullar!A:F,6,FALSE),"")</f>
        <v/>
      </c>
      <c r="H166" s="4" t="str">
        <f t="shared" si="2"/>
        <v/>
      </c>
    </row>
    <row r="167" ht="15.75" customHeight="1">
      <c r="A167" s="4"/>
      <c r="B167" s="4"/>
      <c r="C167" s="4"/>
      <c r="D167" s="4" t="str">
        <f>IF(A167="","",SUMIF(Anbar_Idxal!G:G,A167,Anbar_Idxal!H:H))</f>
        <v/>
      </c>
      <c r="E167" s="4" t="str">
        <f>IF(A167="","",SUMIF(Satislar!E:E,A167,Satislar!G:G))</f>
        <v/>
      </c>
      <c r="F167" s="4" t="str">
        <f t="shared" si="1"/>
        <v/>
      </c>
      <c r="G167" s="4" t="str">
        <f>IFERROR(VLOOKUP(A167,Mehsullar!A:F,6,FALSE),"")</f>
        <v/>
      </c>
      <c r="H167" s="4" t="str">
        <f t="shared" si="2"/>
        <v/>
      </c>
    </row>
    <row r="168" ht="15.75" customHeight="1">
      <c r="A168" s="4"/>
      <c r="B168" s="4"/>
      <c r="C168" s="4"/>
      <c r="D168" s="4" t="str">
        <f>IF(A168="","",SUMIF(Anbar_Idxal!G:G,A168,Anbar_Idxal!H:H))</f>
        <v/>
      </c>
      <c r="E168" s="4" t="str">
        <f>IF(A168="","",SUMIF(Satislar!E:E,A168,Satislar!G:G))</f>
        <v/>
      </c>
      <c r="F168" s="4" t="str">
        <f t="shared" si="1"/>
        <v/>
      </c>
      <c r="G168" s="4" t="str">
        <f>IFERROR(VLOOKUP(A168,Mehsullar!A:F,6,FALSE),"")</f>
        <v/>
      </c>
      <c r="H168" s="4" t="str">
        <f t="shared" si="2"/>
        <v/>
      </c>
    </row>
    <row r="169" ht="15.75" customHeight="1">
      <c r="A169" s="4"/>
      <c r="B169" s="4"/>
      <c r="C169" s="4"/>
      <c r="D169" s="4" t="str">
        <f>IF(A169="","",SUMIF(Anbar_Idxal!G:G,A169,Anbar_Idxal!H:H))</f>
        <v/>
      </c>
      <c r="E169" s="4" t="str">
        <f>IF(A169="","",SUMIF(Satislar!E:E,A169,Satislar!G:G))</f>
        <v/>
      </c>
      <c r="F169" s="4" t="str">
        <f t="shared" si="1"/>
        <v/>
      </c>
      <c r="G169" s="4" t="str">
        <f>IFERROR(VLOOKUP(A169,Mehsullar!A:F,6,FALSE),"")</f>
        <v/>
      </c>
      <c r="H169" s="4" t="str">
        <f t="shared" si="2"/>
        <v/>
      </c>
    </row>
    <row r="170" ht="15.75" customHeight="1">
      <c r="A170" s="4"/>
      <c r="B170" s="4"/>
      <c r="C170" s="4"/>
      <c r="D170" s="4" t="str">
        <f>IF(A170="","",SUMIF(Anbar_Idxal!G:G,A170,Anbar_Idxal!H:H))</f>
        <v/>
      </c>
      <c r="E170" s="4" t="str">
        <f>IF(A170="","",SUMIF(Satislar!E:E,A170,Satislar!G:G))</f>
        <v/>
      </c>
      <c r="F170" s="4" t="str">
        <f t="shared" si="1"/>
        <v/>
      </c>
      <c r="G170" s="4" t="str">
        <f>IFERROR(VLOOKUP(A170,Mehsullar!A:F,6,FALSE),"")</f>
        <v/>
      </c>
      <c r="H170" s="4" t="str">
        <f t="shared" si="2"/>
        <v/>
      </c>
    </row>
    <row r="171" ht="15.75" customHeight="1">
      <c r="A171" s="4"/>
      <c r="B171" s="4"/>
      <c r="C171" s="4"/>
      <c r="D171" s="4" t="str">
        <f>IF(A171="","",SUMIF(Anbar_Idxal!G:G,A171,Anbar_Idxal!H:H))</f>
        <v/>
      </c>
      <c r="E171" s="4" t="str">
        <f>IF(A171="","",SUMIF(Satislar!E:E,A171,Satislar!G:G))</f>
        <v/>
      </c>
      <c r="F171" s="4" t="str">
        <f t="shared" si="1"/>
        <v/>
      </c>
      <c r="G171" s="4" t="str">
        <f>IFERROR(VLOOKUP(A171,Mehsullar!A:F,6,FALSE),"")</f>
        <v/>
      </c>
      <c r="H171" s="4" t="str">
        <f t="shared" si="2"/>
        <v/>
      </c>
    </row>
    <row r="172" ht="15.75" customHeight="1">
      <c r="A172" s="4"/>
      <c r="B172" s="4"/>
      <c r="C172" s="4"/>
      <c r="D172" s="4" t="str">
        <f>IF(A172="","",SUMIF(Anbar_Idxal!G:G,A172,Anbar_Idxal!H:H))</f>
        <v/>
      </c>
      <c r="E172" s="4" t="str">
        <f>IF(A172="","",SUMIF(Satislar!E:E,A172,Satislar!G:G))</f>
        <v/>
      </c>
      <c r="F172" s="4" t="str">
        <f t="shared" si="1"/>
        <v/>
      </c>
      <c r="G172" s="4" t="str">
        <f>IFERROR(VLOOKUP(A172,Mehsullar!A:F,6,FALSE),"")</f>
        <v/>
      </c>
      <c r="H172" s="4" t="str">
        <f t="shared" si="2"/>
        <v/>
      </c>
    </row>
    <row r="173" ht="15.75" customHeight="1">
      <c r="A173" s="4"/>
      <c r="B173" s="4"/>
      <c r="C173" s="4"/>
      <c r="D173" s="4" t="str">
        <f>IF(A173="","",SUMIF(Anbar_Idxal!G:G,A173,Anbar_Idxal!H:H))</f>
        <v/>
      </c>
      <c r="E173" s="4" t="str">
        <f>IF(A173="","",SUMIF(Satislar!E:E,A173,Satislar!G:G))</f>
        <v/>
      </c>
      <c r="F173" s="4" t="str">
        <f t="shared" si="1"/>
        <v/>
      </c>
      <c r="G173" s="4" t="str">
        <f>IFERROR(VLOOKUP(A173,Mehsullar!A:F,6,FALSE),"")</f>
        <v/>
      </c>
      <c r="H173" s="4" t="str">
        <f t="shared" si="2"/>
        <v/>
      </c>
    </row>
    <row r="174" ht="15.75" customHeight="1">
      <c r="A174" s="4"/>
      <c r="B174" s="4"/>
      <c r="C174" s="4"/>
      <c r="D174" s="4" t="str">
        <f>IF(A174="","",SUMIF(Anbar_Idxal!G:G,A174,Anbar_Idxal!H:H))</f>
        <v/>
      </c>
      <c r="E174" s="4" t="str">
        <f>IF(A174="","",SUMIF(Satislar!E:E,A174,Satislar!G:G))</f>
        <v/>
      </c>
      <c r="F174" s="4" t="str">
        <f t="shared" si="1"/>
        <v/>
      </c>
      <c r="G174" s="4" t="str">
        <f>IFERROR(VLOOKUP(A174,Mehsullar!A:F,6,FALSE),"")</f>
        <v/>
      </c>
      <c r="H174" s="4" t="str">
        <f t="shared" si="2"/>
        <v/>
      </c>
    </row>
    <row r="175" ht="15.75" customHeight="1">
      <c r="A175" s="4"/>
      <c r="B175" s="4"/>
      <c r="C175" s="4"/>
      <c r="D175" s="4" t="str">
        <f>IF(A175="","",SUMIF(Anbar_Idxal!G:G,A175,Anbar_Idxal!H:H))</f>
        <v/>
      </c>
      <c r="E175" s="4" t="str">
        <f>IF(A175="","",SUMIF(Satislar!E:E,A175,Satislar!G:G))</f>
        <v/>
      </c>
      <c r="F175" s="4" t="str">
        <f t="shared" si="1"/>
        <v/>
      </c>
      <c r="G175" s="4" t="str">
        <f>IFERROR(VLOOKUP(A175,Mehsullar!A:F,6,FALSE),"")</f>
        <v/>
      </c>
      <c r="H175" s="4" t="str">
        <f t="shared" si="2"/>
        <v/>
      </c>
    </row>
    <row r="176" ht="15.75" customHeight="1">
      <c r="A176" s="4"/>
      <c r="B176" s="4"/>
      <c r="C176" s="4"/>
      <c r="D176" s="4" t="str">
        <f>IF(A176="","",SUMIF(Anbar_Idxal!G:G,A176,Anbar_Idxal!H:H))</f>
        <v/>
      </c>
      <c r="E176" s="4" t="str">
        <f>IF(A176="","",SUMIF(Satislar!E:E,A176,Satislar!G:G))</f>
        <v/>
      </c>
      <c r="F176" s="4" t="str">
        <f t="shared" si="1"/>
        <v/>
      </c>
      <c r="G176" s="4" t="str">
        <f>IFERROR(VLOOKUP(A176,Mehsullar!A:F,6,FALSE),"")</f>
        <v/>
      </c>
      <c r="H176" s="4" t="str">
        <f t="shared" si="2"/>
        <v/>
      </c>
    </row>
    <row r="177" ht="15.75" customHeight="1">
      <c r="A177" s="4"/>
      <c r="B177" s="4"/>
      <c r="C177" s="4"/>
      <c r="D177" s="4" t="str">
        <f>IF(A177="","",SUMIF(Anbar_Idxal!G:G,A177,Anbar_Idxal!H:H))</f>
        <v/>
      </c>
      <c r="E177" s="4" t="str">
        <f>IF(A177="","",SUMIF(Satislar!E:E,A177,Satislar!G:G))</f>
        <v/>
      </c>
      <c r="F177" s="4" t="str">
        <f t="shared" si="1"/>
        <v/>
      </c>
      <c r="G177" s="4" t="str">
        <f>IFERROR(VLOOKUP(A177,Mehsullar!A:F,6,FALSE),"")</f>
        <v/>
      </c>
      <c r="H177" s="4" t="str">
        <f t="shared" si="2"/>
        <v/>
      </c>
    </row>
    <row r="178" ht="15.75" customHeight="1">
      <c r="A178" s="4"/>
      <c r="B178" s="4"/>
      <c r="C178" s="4"/>
      <c r="D178" s="4" t="str">
        <f>IF(A178="","",SUMIF(Anbar_Idxal!G:G,A178,Anbar_Idxal!H:H))</f>
        <v/>
      </c>
      <c r="E178" s="4" t="str">
        <f>IF(A178="","",SUMIF(Satislar!E:E,A178,Satislar!G:G))</f>
        <v/>
      </c>
      <c r="F178" s="4" t="str">
        <f t="shared" si="1"/>
        <v/>
      </c>
      <c r="G178" s="4" t="str">
        <f>IFERROR(VLOOKUP(A178,Mehsullar!A:F,6,FALSE),"")</f>
        <v/>
      </c>
      <c r="H178" s="4" t="str">
        <f t="shared" si="2"/>
        <v/>
      </c>
    </row>
    <row r="179" ht="15.75" customHeight="1">
      <c r="A179" s="4"/>
      <c r="B179" s="4"/>
      <c r="C179" s="4"/>
      <c r="D179" s="4" t="str">
        <f>IF(A179="","",SUMIF(Anbar_Idxal!G:G,A179,Anbar_Idxal!H:H))</f>
        <v/>
      </c>
      <c r="E179" s="4" t="str">
        <f>IF(A179="","",SUMIF(Satislar!E:E,A179,Satislar!G:G))</f>
        <v/>
      </c>
      <c r="F179" s="4" t="str">
        <f t="shared" si="1"/>
        <v/>
      </c>
      <c r="G179" s="4" t="str">
        <f>IFERROR(VLOOKUP(A179,Mehsullar!A:F,6,FALSE),"")</f>
        <v/>
      </c>
      <c r="H179" s="4" t="str">
        <f t="shared" si="2"/>
        <v/>
      </c>
    </row>
    <row r="180" ht="15.75" customHeight="1">
      <c r="A180" s="4"/>
      <c r="B180" s="4"/>
      <c r="C180" s="4"/>
      <c r="D180" s="4" t="str">
        <f>IF(A180="","",SUMIF(Anbar_Idxal!G:G,A180,Anbar_Idxal!H:H))</f>
        <v/>
      </c>
      <c r="E180" s="4" t="str">
        <f>IF(A180="","",SUMIF(Satislar!E:E,A180,Satislar!G:G))</f>
        <v/>
      </c>
      <c r="F180" s="4" t="str">
        <f t="shared" si="1"/>
        <v/>
      </c>
      <c r="G180" s="4" t="str">
        <f>IFERROR(VLOOKUP(A180,Mehsullar!A:F,6,FALSE),"")</f>
        <v/>
      </c>
      <c r="H180" s="4" t="str">
        <f t="shared" si="2"/>
        <v/>
      </c>
    </row>
    <row r="181" ht="15.75" customHeight="1">
      <c r="A181" s="4"/>
      <c r="B181" s="4"/>
      <c r="C181" s="4"/>
      <c r="D181" s="4" t="str">
        <f>IF(A181="","",SUMIF(Anbar_Idxal!G:G,A181,Anbar_Idxal!H:H))</f>
        <v/>
      </c>
      <c r="E181" s="4" t="str">
        <f>IF(A181="","",SUMIF(Satislar!E:E,A181,Satislar!G:G))</f>
        <v/>
      </c>
      <c r="F181" s="4" t="str">
        <f t="shared" si="1"/>
        <v/>
      </c>
      <c r="G181" s="4" t="str">
        <f>IFERROR(VLOOKUP(A181,Mehsullar!A:F,6,FALSE),"")</f>
        <v/>
      </c>
      <c r="H181" s="4" t="str">
        <f t="shared" si="2"/>
        <v/>
      </c>
    </row>
    <row r="182" ht="15.75" customHeight="1">
      <c r="A182" s="4"/>
      <c r="B182" s="4"/>
      <c r="C182" s="4"/>
      <c r="D182" s="4" t="str">
        <f>IF(A182="","",SUMIF(Anbar_Idxal!G:G,A182,Anbar_Idxal!H:H))</f>
        <v/>
      </c>
      <c r="E182" s="4" t="str">
        <f>IF(A182="","",SUMIF(Satislar!E:E,A182,Satislar!G:G))</f>
        <v/>
      </c>
      <c r="F182" s="4" t="str">
        <f t="shared" si="1"/>
        <v/>
      </c>
      <c r="G182" s="4" t="str">
        <f>IFERROR(VLOOKUP(A182,Mehsullar!A:F,6,FALSE),"")</f>
        <v/>
      </c>
      <c r="H182" s="4" t="str">
        <f t="shared" si="2"/>
        <v/>
      </c>
    </row>
    <row r="183" ht="15.75" customHeight="1">
      <c r="A183" s="4"/>
      <c r="B183" s="4"/>
      <c r="C183" s="4"/>
      <c r="D183" s="4" t="str">
        <f>IF(A183="","",SUMIF(Anbar_Idxal!G:G,A183,Anbar_Idxal!H:H))</f>
        <v/>
      </c>
      <c r="E183" s="4" t="str">
        <f>IF(A183="","",SUMIF(Satislar!E:E,A183,Satislar!G:G))</f>
        <v/>
      </c>
      <c r="F183" s="4" t="str">
        <f t="shared" si="1"/>
        <v/>
      </c>
      <c r="G183" s="4" t="str">
        <f>IFERROR(VLOOKUP(A183,Mehsullar!A:F,6,FALSE),"")</f>
        <v/>
      </c>
      <c r="H183" s="4" t="str">
        <f t="shared" si="2"/>
        <v/>
      </c>
    </row>
    <row r="184" ht="15.75" customHeight="1">
      <c r="A184" s="4"/>
      <c r="B184" s="4"/>
      <c r="C184" s="4"/>
      <c r="D184" s="4" t="str">
        <f>IF(A184="","",SUMIF(Anbar_Idxal!G:G,A184,Anbar_Idxal!H:H))</f>
        <v/>
      </c>
      <c r="E184" s="4" t="str">
        <f>IF(A184="","",SUMIF(Satislar!E:E,A184,Satislar!G:G))</f>
        <v/>
      </c>
      <c r="F184" s="4" t="str">
        <f t="shared" si="1"/>
        <v/>
      </c>
      <c r="G184" s="4" t="str">
        <f>IFERROR(VLOOKUP(A184,Mehsullar!A:F,6,FALSE),"")</f>
        <v/>
      </c>
      <c r="H184" s="4" t="str">
        <f t="shared" si="2"/>
        <v/>
      </c>
    </row>
    <row r="185" ht="15.75" customHeight="1">
      <c r="A185" s="4"/>
      <c r="B185" s="4"/>
      <c r="C185" s="4"/>
      <c r="D185" s="4" t="str">
        <f>IF(A185="","",SUMIF(Anbar_Idxal!G:G,A185,Anbar_Idxal!H:H))</f>
        <v/>
      </c>
      <c r="E185" s="4" t="str">
        <f>IF(A185="","",SUMIF(Satislar!E:E,A185,Satislar!G:G))</f>
        <v/>
      </c>
      <c r="F185" s="4" t="str">
        <f t="shared" si="1"/>
        <v/>
      </c>
      <c r="G185" s="4" t="str">
        <f>IFERROR(VLOOKUP(A185,Mehsullar!A:F,6,FALSE),"")</f>
        <v/>
      </c>
      <c r="H185" s="4" t="str">
        <f t="shared" si="2"/>
        <v/>
      </c>
    </row>
    <row r="186" ht="15.75" customHeight="1">
      <c r="A186" s="4"/>
      <c r="B186" s="4"/>
      <c r="C186" s="4"/>
      <c r="D186" s="4" t="str">
        <f>IF(A186="","",SUMIF(Anbar_Idxal!G:G,A186,Anbar_Idxal!H:H))</f>
        <v/>
      </c>
      <c r="E186" s="4" t="str">
        <f>IF(A186="","",SUMIF(Satislar!E:E,A186,Satislar!G:G))</f>
        <v/>
      </c>
      <c r="F186" s="4" t="str">
        <f t="shared" si="1"/>
        <v/>
      </c>
      <c r="G186" s="4" t="str">
        <f>IFERROR(VLOOKUP(A186,Mehsullar!A:F,6,FALSE),"")</f>
        <v/>
      </c>
      <c r="H186" s="4" t="str">
        <f t="shared" si="2"/>
        <v/>
      </c>
    </row>
    <row r="187" ht="15.75" customHeight="1">
      <c r="A187" s="4"/>
      <c r="B187" s="4"/>
      <c r="C187" s="4"/>
      <c r="D187" s="4" t="str">
        <f>IF(A187="","",SUMIF(Anbar_Idxal!G:G,A187,Anbar_Idxal!H:H))</f>
        <v/>
      </c>
      <c r="E187" s="4" t="str">
        <f>IF(A187="","",SUMIF(Satislar!E:E,A187,Satislar!G:G))</f>
        <v/>
      </c>
      <c r="F187" s="4" t="str">
        <f t="shared" si="1"/>
        <v/>
      </c>
      <c r="G187" s="4" t="str">
        <f>IFERROR(VLOOKUP(A187,Mehsullar!A:F,6,FALSE),"")</f>
        <v/>
      </c>
      <c r="H187" s="4" t="str">
        <f t="shared" si="2"/>
        <v/>
      </c>
    </row>
    <row r="188" ht="15.75" customHeight="1">
      <c r="A188" s="4"/>
      <c r="B188" s="4"/>
      <c r="C188" s="4"/>
      <c r="D188" s="4" t="str">
        <f>IF(A188="","",SUMIF(Anbar_Idxal!G:G,A188,Anbar_Idxal!H:H))</f>
        <v/>
      </c>
      <c r="E188" s="4" t="str">
        <f>IF(A188="","",SUMIF(Satislar!E:E,A188,Satislar!G:G))</f>
        <v/>
      </c>
      <c r="F188" s="4" t="str">
        <f t="shared" si="1"/>
        <v/>
      </c>
      <c r="G188" s="4" t="str">
        <f>IFERROR(VLOOKUP(A188,Mehsullar!A:F,6,FALSE),"")</f>
        <v/>
      </c>
      <c r="H188" s="4" t="str">
        <f t="shared" si="2"/>
        <v/>
      </c>
    </row>
    <row r="189" ht="15.75" customHeight="1">
      <c r="A189" s="4"/>
      <c r="B189" s="4"/>
      <c r="C189" s="4"/>
      <c r="D189" s="4" t="str">
        <f>IF(A189="","",SUMIF(Anbar_Idxal!G:G,A189,Anbar_Idxal!H:H))</f>
        <v/>
      </c>
      <c r="E189" s="4" t="str">
        <f>IF(A189="","",SUMIF(Satislar!E:E,A189,Satislar!G:G))</f>
        <v/>
      </c>
      <c r="F189" s="4" t="str">
        <f t="shared" si="1"/>
        <v/>
      </c>
      <c r="G189" s="4" t="str">
        <f>IFERROR(VLOOKUP(A189,Mehsullar!A:F,6,FALSE),"")</f>
        <v/>
      </c>
      <c r="H189" s="4" t="str">
        <f t="shared" si="2"/>
        <v/>
      </c>
    </row>
    <row r="190" ht="15.75" customHeight="1">
      <c r="A190" s="4"/>
      <c r="B190" s="4"/>
      <c r="C190" s="4"/>
      <c r="D190" s="4" t="str">
        <f>IF(A190="","",SUMIF(Anbar_Idxal!G:G,A190,Anbar_Idxal!H:H))</f>
        <v/>
      </c>
      <c r="E190" s="4" t="str">
        <f>IF(A190="","",SUMIF(Satislar!E:E,A190,Satislar!G:G))</f>
        <v/>
      </c>
      <c r="F190" s="4" t="str">
        <f t="shared" si="1"/>
        <v/>
      </c>
      <c r="G190" s="4" t="str">
        <f>IFERROR(VLOOKUP(A190,Mehsullar!A:F,6,FALSE),"")</f>
        <v/>
      </c>
      <c r="H190" s="4" t="str">
        <f t="shared" si="2"/>
        <v/>
      </c>
    </row>
    <row r="191" ht="15.75" customHeight="1">
      <c r="A191" s="4"/>
      <c r="B191" s="4"/>
      <c r="C191" s="4"/>
      <c r="D191" s="4" t="str">
        <f>IF(A191="","",SUMIF(Anbar_Idxal!G:G,A191,Anbar_Idxal!H:H))</f>
        <v/>
      </c>
      <c r="E191" s="4" t="str">
        <f>IF(A191="","",SUMIF(Satislar!E:E,A191,Satislar!G:G))</f>
        <v/>
      </c>
      <c r="F191" s="4" t="str">
        <f t="shared" si="1"/>
        <v/>
      </c>
      <c r="G191" s="4" t="str">
        <f>IFERROR(VLOOKUP(A191,Mehsullar!A:F,6,FALSE),"")</f>
        <v/>
      </c>
      <c r="H191" s="4" t="str">
        <f t="shared" si="2"/>
        <v/>
      </c>
    </row>
    <row r="192" ht="15.75" customHeight="1">
      <c r="A192" s="4"/>
      <c r="B192" s="4"/>
      <c r="C192" s="4"/>
      <c r="D192" s="4" t="str">
        <f>IF(A192="","",SUMIF(Anbar_Idxal!G:G,A192,Anbar_Idxal!H:H))</f>
        <v/>
      </c>
      <c r="E192" s="4" t="str">
        <f>IF(A192="","",SUMIF(Satislar!E:E,A192,Satislar!G:G))</f>
        <v/>
      </c>
      <c r="F192" s="4" t="str">
        <f t="shared" si="1"/>
        <v/>
      </c>
      <c r="G192" s="4" t="str">
        <f>IFERROR(VLOOKUP(A192,Mehsullar!A:F,6,FALSE),"")</f>
        <v/>
      </c>
      <c r="H192" s="4" t="str">
        <f t="shared" si="2"/>
        <v/>
      </c>
    </row>
    <row r="193" ht="15.75" customHeight="1">
      <c r="A193" s="4"/>
      <c r="B193" s="4"/>
      <c r="C193" s="4"/>
      <c r="D193" s="4" t="str">
        <f>IF(A193="","",SUMIF(Anbar_Idxal!G:G,A193,Anbar_Idxal!H:H))</f>
        <v/>
      </c>
      <c r="E193" s="4" t="str">
        <f>IF(A193="","",SUMIF(Satislar!E:E,A193,Satislar!G:G))</f>
        <v/>
      </c>
      <c r="F193" s="4" t="str">
        <f t="shared" si="1"/>
        <v/>
      </c>
      <c r="G193" s="4" t="str">
        <f>IFERROR(VLOOKUP(A193,Mehsullar!A:F,6,FALSE),"")</f>
        <v/>
      </c>
      <c r="H193" s="4" t="str">
        <f t="shared" si="2"/>
        <v/>
      </c>
    </row>
    <row r="194" ht="15.75" customHeight="1">
      <c r="A194" s="4"/>
      <c r="B194" s="4"/>
      <c r="C194" s="4"/>
      <c r="D194" s="4" t="str">
        <f>IF(A194="","",SUMIF(Anbar_Idxal!G:G,A194,Anbar_Idxal!H:H))</f>
        <v/>
      </c>
      <c r="E194" s="4" t="str">
        <f>IF(A194="","",SUMIF(Satislar!E:E,A194,Satislar!G:G))</f>
        <v/>
      </c>
      <c r="F194" s="4" t="str">
        <f t="shared" si="1"/>
        <v/>
      </c>
      <c r="G194" s="4" t="str">
        <f>IFERROR(VLOOKUP(A194,Mehsullar!A:F,6,FALSE),"")</f>
        <v/>
      </c>
      <c r="H194" s="4" t="str">
        <f t="shared" si="2"/>
        <v/>
      </c>
    </row>
    <row r="195" ht="15.75" customHeight="1">
      <c r="A195" s="4"/>
      <c r="B195" s="4"/>
      <c r="C195" s="4"/>
      <c r="D195" s="4" t="str">
        <f>IF(A195="","",SUMIF(Anbar_Idxal!G:G,A195,Anbar_Idxal!H:H))</f>
        <v/>
      </c>
      <c r="E195" s="4" t="str">
        <f>IF(A195="","",SUMIF(Satislar!E:E,A195,Satislar!G:G))</f>
        <v/>
      </c>
      <c r="F195" s="4" t="str">
        <f t="shared" si="1"/>
        <v/>
      </c>
      <c r="G195" s="4" t="str">
        <f>IFERROR(VLOOKUP(A195,Mehsullar!A:F,6,FALSE),"")</f>
        <v/>
      </c>
      <c r="H195" s="4" t="str">
        <f t="shared" si="2"/>
        <v/>
      </c>
    </row>
    <row r="196" ht="15.75" customHeight="1">
      <c r="A196" s="4"/>
      <c r="B196" s="4"/>
      <c r="C196" s="4"/>
      <c r="D196" s="4" t="str">
        <f>IF(A196="","",SUMIF(Anbar_Idxal!G:G,A196,Anbar_Idxal!H:H))</f>
        <v/>
      </c>
      <c r="E196" s="4" t="str">
        <f>IF(A196="","",SUMIF(Satislar!E:E,A196,Satislar!G:G))</f>
        <v/>
      </c>
      <c r="F196" s="4" t="str">
        <f t="shared" si="1"/>
        <v/>
      </c>
      <c r="G196" s="4" t="str">
        <f>IFERROR(VLOOKUP(A196,Mehsullar!A:F,6,FALSE),"")</f>
        <v/>
      </c>
      <c r="H196" s="4" t="str">
        <f t="shared" si="2"/>
        <v/>
      </c>
    </row>
    <row r="197" ht="15.75" customHeight="1">
      <c r="A197" s="4"/>
      <c r="B197" s="4"/>
      <c r="C197" s="4"/>
      <c r="D197" s="4" t="str">
        <f>IF(A197="","",SUMIF(Anbar_Idxal!G:G,A197,Anbar_Idxal!H:H))</f>
        <v/>
      </c>
      <c r="E197" s="4" t="str">
        <f>IF(A197="","",SUMIF(Satislar!E:E,A197,Satislar!G:G))</f>
        <v/>
      </c>
      <c r="F197" s="4" t="str">
        <f t="shared" si="1"/>
        <v/>
      </c>
      <c r="G197" s="4" t="str">
        <f>IFERROR(VLOOKUP(A197,Mehsullar!A:F,6,FALSE),"")</f>
        <v/>
      </c>
      <c r="H197" s="4" t="str">
        <f t="shared" si="2"/>
        <v/>
      </c>
    </row>
    <row r="198" ht="15.75" customHeight="1">
      <c r="A198" s="4"/>
      <c r="B198" s="4"/>
      <c r="C198" s="4"/>
      <c r="D198" s="4" t="str">
        <f>IF(A198="","",SUMIF(Anbar_Idxal!G:G,A198,Anbar_Idxal!H:H))</f>
        <v/>
      </c>
      <c r="E198" s="4" t="str">
        <f>IF(A198="","",SUMIF(Satislar!E:E,A198,Satislar!G:G))</f>
        <v/>
      </c>
      <c r="F198" s="4" t="str">
        <f t="shared" si="1"/>
        <v/>
      </c>
      <c r="G198" s="4" t="str">
        <f>IFERROR(VLOOKUP(A198,Mehsullar!A:F,6,FALSE),"")</f>
        <v/>
      </c>
      <c r="H198" s="4" t="str">
        <f t="shared" si="2"/>
        <v/>
      </c>
    </row>
    <row r="199" ht="15.75" customHeight="1">
      <c r="A199" s="4"/>
      <c r="B199" s="4"/>
      <c r="C199" s="4"/>
      <c r="D199" s="4" t="str">
        <f>IF(A199="","",SUMIF(Anbar_Idxal!G:G,A199,Anbar_Idxal!H:H))</f>
        <v/>
      </c>
      <c r="E199" s="4" t="str">
        <f>IF(A199="","",SUMIF(Satislar!E:E,A199,Satislar!G:G))</f>
        <v/>
      </c>
      <c r="F199" s="4" t="str">
        <f t="shared" si="1"/>
        <v/>
      </c>
      <c r="G199" s="4" t="str">
        <f>IFERROR(VLOOKUP(A199,Mehsullar!A:F,6,FALSE),"")</f>
        <v/>
      </c>
      <c r="H199" s="4" t="str">
        <f t="shared" si="2"/>
        <v/>
      </c>
    </row>
    <row r="200" ht="15.75" customHeight="1">
      <c r="A200" s="4"/>
      <c r="B200" s="4"/>
      <c r="C200" s="4"/>
      <c r="D200" s="4" t="str">
        <f>IF(A200="","",SUMIF(Anbar_Idxal!G:G,A200,Anbar_Idxal!H:H))</f>
        <v/>
      </c>
      <c r="E200" s="4" t="str">
        <f>IF(A200="","",SUMIF(Satislar!E:E,A200,Satislar!G:G))</f>
        <v/>
      </c>
      <c r="F200" s="4" t="str">
        <f t="shared" si="1"/>
        <v/>
      </c>
      <c r="G200" s="4" t="str">
        <f>IFERROR(VLOOKUP(A200,Mehsullar!A:F,6,FALSE),"")</f>
        <v/>
      </c>
      <c r="H200" s="4" t="str">
        <f t="shared" si="2"/>
        <v/>
      </c>
    </row>
    <row r="201" ht="15.75" customHeight="1">
      <c r="A201" s="4"/>
      <c r="B201" s="4"/>
      <c r="C201" s="4"/>
      <c r="D201" s="4" t="str">
        <f>IF(A201="","",SUMIF(Anbar_Idxal!G:G,A201,Anbar_Idxal!H:H))</f>
        <v/>
      </c>
      <c r="E201" s="4" t="str">
        <f>IF(A201="","",SUMIF(Satislar!E:E,A201,Satislar!G:G))</f>
        <v/>
      </c>
      <c r="F201" s="4" t="str">
        <f t="shared" si="1"/>
        <v/>
      </c>
      <c r="G201" s="4" t="str">
        <f>IFERROR(VLOOKUP(A201,Mehsullar!A:F,6,FALSE),"")</f>
        <v/>
      </c>
      <c r="H201" s="4" t="str">
        <f t="shared" si="2"/>
        <v/>
      </c>
    </row>
    <row r="202" ht="15.75" customHeight="1">
      <c r="A202" s="4"/>
      <c r="B202" s="4"/>
      <c r="C202" s="4"/>
      <c r="D202" s="4" t="str">
        <f>IF(A202="","",SUMIF(Anbar_Idxal!G:G,A202,Anbar_Idxal!H:H))</f>
        <v/>
      </c>
      <c r="E202" s="4" t="str">
        <f>IF(A202="","",SUMIF(Satislar!E:E,A202,Satislar!G:G))</f>
        <v/>
      </c>
      <c r="F202" s="4" t="str">
        <f t="shared" si="1"/>
        <v/>
      </c>
      <c r="G202" s="4" t="str">
        <f>IFERROR(VLOOKUP(A202,Mehsullar!A:F,6,FALSE),"")</f>
        <v/>
      </c>
      <c r="H202" s="4" t="str">
        <f t="shared" si="2"/>
        <v/>
      </c>
    </row>
    <row r="203" ht="15.75" customHeight="1">
      <c r="A203" s="4"/>
      <c r="B203" s="4"/>
      <c r="C203" s="4"/>
      <c r="D203" s="4" t="str">
        <f>IF(A203="","",SUMIF(Anbar_Idxal!G:G,A203,Anbar_Idxal!H:H))</f>
        <v/>
      </c>
      <c r="E203" s="4" t="str">
        <f>IF(A203="","",SUMIF(Satislar!E:E,A203,Satislar!G:G))</f>
        <v/>
      </c>
      <c r="F203" s="4" t="str">
        <f t="shared" si="1"/>
        <v/>
      </c>
      <c r="G203" s="4" t="str">
        <f>IFERROR(VLOOKUP(A203,Mehsullar!A:F,6,FALSE),"")</f>
        <v/>
      </c>
      <c r="H203" s="4" t="str">
        <f t="shared" si="2"/>
        <v/>
      </c>
    </row>
    <row r="204" ht="15.75" customHeight="1">
      <c r="A204" s="4"/>
      <c r="B204" s="4"/>
      <c r="C204" s="4"/>
      <c r="D204" s="4" t="str">
        <f>IF(A204="","",SUMIF(Anbar_Idxal!G:G,A204,Anbar_Idxal!H:H))</f>
        <v/>
      </c>
      <c r="E204" s="4" t="str">
        <f>IF(A204="","",SUMIF(Satislar!E:E,A204,Satislar!G:G))</f>
        <v/>
      </c>
      <c r="F204" s="4" t="str">
        <f t="shared" si="1"/>
        <v/>
      </c>
      <c r="G204" s="4" t="str">
        <f>IFERROR(VLOOKUP(A204,Mehsullar!A:F,6,FALSE),"")</f>
        <v/>
      </c>
      <c r="H204" s="4" t="str">
        <f t="shared" si="2"/>
        <v/>
      </c>
    </row>
    <row r="205" ht="15.75" customHeight="1">
      <c r="A205" s="4"/>
      <c r="B205" s="4"/>
      <c r="C205" s="4"/>
      <c r="D205" s="4" t="str">
        <f>IF(A205="","",SUMIF(Anbar_Idxal!G:G,A205,Anbar_Idxal!H:H))</f>
        <v/>
      </c>
      <c r="E205" s="4" t="str">
        <f>IF(A205="","",SUMIF(Satislar!E:E,A205,Satislar!G:G))</f>
        <v/>
      </c>
      <c r="F205" s="4" t="str">
        <f t="shared" si="1"/>
        <v/>
      </c>
      <c r="G205" s="4" t="str">
        <f>IFERROR(VLOOKUP(A205,Mehsullar!A:F,6,FALSE),"")</f>
        <v/>
      </c>
      <c r="H205" s="4" t="str">
        <f t="shared" si="2"/>
        <v/>
      </c>
    </row>
    <row r="206" ht="15.75" customHeight="1">
      <c r="A206" s="4"/>
      <c r="B206" s="4"/>
      <c r="C206" s="4"/>
      <c r="D206" s="4" t="str">
        <f>IF(A206="","",SUMIF(Anbar_Idxal!G:G,A206,Anbar_Idxal!H:H))</f>
        <v/>
      </c>
      <c r="E206" s="4" t="str">
        <f>IF(A206="","",SUMIF(Satislar!E:E,A206,Satislar!G:G))</f>
        <v/>
      </c>
      <c r="F206" s="4" t="str">
        <f t="shared" si="1"/>
        <v/>
      </c>
      <c r="G206" s="4" t="str">
        <f>IFERROR(VLOOKUP(A206,Mehsullar!A:F,6,FALSE),"")</f>
        <v/>
      </c>
      <c r="H206" s="4" t="str">
        <f t="shared" si="2"/>
        <v/>
      </c>
    </row>
    <row r="207" ht="15.75" customHeight="1">
      <c r="A207" s="4"/>
      <c r="B207" s="4"/>
      <c r="C207" s="4"/>
      <c r="D207" s="4" t="str">
        <f>IF(A207="","",SUMIF(Anbar_Idxal!G:G,A207,Anbar_Idxal!H:H))</f>
        <v/>
      </c>
      <c r="E207" s="4" t="str">
        <f>IF(A207="","",SUMIF(Satislar!E:E,A207,Satislar!G:G))</f>
        <v/>
      </c>
      <c r="F207" s="4" t="str">
        <f t="shared" si="1"/>
        <v/>
      </c>
      <c r="G207" s="4" t="str">
        <f>IFERROR(VLOOKUP(A207,Mehsullar!A:F,6,FALSE),"")</f>
        <v/>
      </c>
      <c r="H207" s="4" t="str">
        <f t="shared" si="2"/>
        <v/>
      </c>
    </row>
    <row r="208" ht="15.75" customHeight="1">
      <c r="A208" s="4"/>
      <c r="B208" s="4"/>
      <c r="C208" s="4"/>
      <c r="D208" s="4" t="str">
        <f>IF(A208="","",SUMIF(Anbar_Idxal!G:G,A208,Anbar_Idxal!H:H))</f>
        <v/>
      </c>
      <c r="E208" s="4" t="str">
        <f>IF(A208="","",SUMIF(Satislar!E:E,A208,Satislar!G:G))</f>
        <v/>
      </c>
      <c r="F208" s="4" t="str">
        <f t="shared" si="1"/>
        <v/>
      </c>
      <c r="G208" s="4" t="str">
        <f>IFERROR(VLOOKUP(A208,Mehsullar!A:F,6,FALSE),"")</f>
        <v/>
      </c>
      <c r="H208" s="4" t="str">
        <f t="shared" si="2"/>
        <v/>
      </c>
    </row>
    <row r="209" ht="15.75" customHeight="1">
      <c r="A209" s="4"/>
      <c r="B209" s="4"/>
      <c r="C209" s="4"/>
      <c r="D209" s="4" t="str">
        <f>IF(A209="","",SUMIF(Anbar_Idxal!G:G,A209,Anbar_Idxal!H:H))</f>
        <v/>
      </c>
      <c r="E209" s="4" t="str">
        <f>IF(A209="","",SUMIF(Satislar!E:E,A209,Satislar!G:G))</f>
        <v/>
      </c>
      <c r="F209" s="4" t="str">
        <f t="shared" si="1"/>
        <v/>
      </c>
      <c r="G209" s="4" t="str">
        <f>IFERROR(VLOOKUP(A209,Mehsullar!A:F,6,FALSE),"")</f>
        <v/>
      </c>
      <c r="H209" s="4" t="str">
        <f t="shared" si="2"/>
        <v/>
      </c>
    </row>
    <row r="210" ht="15.75" customHeight="1">
      <c r="A210" s="4"/>
      <c r="B210" s="4"/>
      <c r="C210" s="4"/>
      <c r="D210" s="4" t="str">
        <f>IF(A210="","",SUMIF(Anbar_Idxal!G:G,A210,Anbar_Idxal!H:H))</f>
        <v/>
      </c>
      <c r="E210" s="4" t="str">
        <f>IF(A210="","",SUMIF(Satislar!E:E,A210,Satislar!G:G))</f>
        <v/>
      </c>
      <c r="F210" s="4" t="str">
        <f t="shared" si="1"/>
        <v/>
      </c>
      <c r="G210" s="4" t="str">
        <f>IFERROR(VLOOKUP(A210,Mehsullar!A:F,6,FALSE),"")</f>
        <v/>
      </c>
      <c r="H210" s="4" t="str">
        <f t="shared" si="2"/>
        <v/>
      </c>
    </row>
    <row r="211" ht="15.75" customHeight="1">
      <c r="A211" s="4"/>
      <c r="B211" s="4"/>
      <c r="C211" s="4"/>
      <c r="D211" s="4" t="str">
        <f>IF(A211="","",SUMIF(Anbar_Idxal!G:G,A211,Anbar_Idxal!H:H))</f>
        <v/>
      </c>
      <c r="E211" s="4" t="str">
        <f>IF(A211="","",SUMIF(Satislar!E:E,A211,Satislar!G:G))</f>
        <v/>
      </c>
      <c r="F211" s="4" t="str">
        <f t="shared" si="1"/>
        <v/>
      </c>
      <c r="G211" s="4" t="str">
        <f>IFERROR(VLOOKUP(A211,Mehsullar!A:F,6,FALSE),"")</f>
        <v/>
      </c>
      <c r="H211" s="4" t="str">
        <f t="shared" si="2"/>
        <v/>
      </c>
    </row>
    <row r="212" ht="15.75" customHeight="1">
      <c r="A212" s="4"/>
      <c r="B212" s="4"/>
      <c r="C212" s="4"/>
      <c r="D212" s="4" t="str">
        <f>IF(A212="","",SUMIF(Anbar_Idxal!G:G,A212,Anbar_Idxal!H:H))</f>
        <v/>
      </c>
      <c r="E212" s="4" t="str">
        <f>IF(A212="","",SUMIF(Satislar!E:E,A212,Satislar!G:G))</f>
        <v/>
      </c>
      <c r="F212" s="4" t="str">
        <f t="shared" si="1"/>
        <v/>
      </c>
      <c r="G212" s="4" t="str">
        <f>IFERROR(VLOOKUP(A212,Mehsullar!A:F,6,FALSE),"")</f>
        <v/>
      </c>
      <c r="H212" s="4" t="str">
        <f t="shared" si="2"/>
        <v/>
      </c>
    </row>
    <row r="213" ht="15.75" customHeight="1">
      <c r="A213" s="4"/>
      <c r="B213" s="4"/>
      <c r="C213" s="4"/>
      <c r="D213" s="4" t="str">
        <f>IF(A213="","",SUMIF(Anbar_Idxal!G:G,A213,Anbar_Idxal!H:H))</f>
        <v/>
      </c>
      <c r="E213" s="4" t="str">
        <f>IF(A213="","",SUMIF(Satislar!E:E,A213,Satislar!G:G))</f>
        <v/>
      </c>
      <c r="F213" s="4" t="str">
        <f t="shared" si="1"/>
        <v/>
      </c>
      <c r="G213" s="4" t="str">
        <f>IFERROR(VLOOKUP(A213,Mehsullar!A:F,6,FALSE),"")</f>
        <v/>
      </c>
      <c r="H213" s="4" t="str">
        <f t="shared" si="2"/>
        <v/>
      </c>
    </row>
    <row r="214" ht="15.75" customHeight="1">
      <c r="A214" s="4"/>
      <c r="B214" s="4"/>
      <c r="C214" s="4"/>
      <c r="D214" s="4" t="str">
        <f>IF(A214="","",SUMIF(Anbar_Idxal!G:G,A214,Anbar_Idxal!H:H))</f>
        <v/>
      </c>
      <c r="E214" s="4" t="str">
        <f>IF(A214="","",SUMIF(Satislar!E:E,A214,Satislar!G:G))</f>
        <v/>
      </c>
      <c r="F214" s="4" t="str">
        <f t="shared" si="1"/>
        <v/>
      </c>
      <c r="G214" s="4" t="str">
        <f>IFERROR(VLOOKUP(A214,Mehsullar!A:F,6,FALSE),"")</f>
        <v/>
      </c>
      <c r="H214" s="4" t="str">
        <f t="shared" si="2"/>
        <v/>
      </c>
    </row>
    <row r="215" ht="15.75" customHeight="1">
      <c r="A215" s="4"/>
      <c r="B215" s="4"/>
      <c r="C215" s="4"/>
      <c r="D215" s="4" t="str">
        <f>IF(A215="","",SUMIF(Anbar_Idxal!G:G,A215,Anbar_Idxal!H:H))</f>
        <v/>
      </c>
      <c r="E215" s="4" t="str">
        <f>IF(A215="","",SUMIF(Satislar!E:E,A215,Satislar!G:G))</f>
        <v/>
      </c>
      <c r="F215" s="4" t="str">
        <f t="shared" si="1"/>
        <v/>
      </c>
      <c r="G215" s="4" t="str">
        <f>IFERROR(VLOOKUP(A215,Mehsullar!A:F,6,FALSE),"")</f>
        <v/>
      </c>
      <c r="H215" s="4" t="str">
        <f t="shared" si="2"/>
        <v/>
      </c>
    </row>
    <row r="216" ht="15.75" customHeight="1">
      <c r="A216" s="4"/>
      <c r="B216" s="4"/>
      <c r="C216" s="4"/>
      <c r="D216" s="4" t="str">
        <f>IF(A216="","",SUMIF(Anbar_Idxal!G:G,A216,Anbar_Idxal!H:H))</f>
        <v/>
      </c>
      <c r="E216" s="4" t="str">
        <f>IF(A216="","",SUMIF(Satislar!E:E,A216,Satislar!G:G))</f>
        <v/>
      </c>
      <c r="F216" s="4" t="str">
        <f t="shared" si="1"/>
        <v/>
      </c>
      <c r="G216" s="4" t="str">
        <f>IFERROR(VLOOKUP(A216,Mehsullar!A:F,6,FALSE),"")</f>
        <v/>
      </c>
      <c r="H216" s="4" t="str">
        <f t="shared" si="2"/>
        <v/>
      </c>
    </row>
    <row r="217" ht="15.75" customHeight="1">
      <c r="A217" s="4"/>
      <c r="B217" s="4"/>
      <c r="C217" s="4"/>
      <c r="D217" s="4" t="str">
        <f>IF(A217="","",SUMIF(Anbar_Idxal!G:G,A217,Anbar_Idxal!H:H))</f>
        <v/>
      </c>
      <c r="E217" s="4" t="str">
        <f>IF(A217="","",SUMIF(Satislar!E:E,A217,Satislar!G:G))</f>
        <v/>
      </c>
      <c r="F217" s="4" t="str">
        <f t="shared" si="1"/>
        <v/>
      </c>
      <c r="G217" s="4" t="str">
        <f>IFERROR(VLOOKUP(A217,Mehsullar!A:F,6,FALSE),"")</f>
        <v/>
      </c>
      <c r="H217" s="4" t="str">
        <f t="shared" si="2"/>
        <v/>
      </c>
    </row>
    <row r="218" ht="15.75" customHeight="1">
      <c r="A218" s="4"/>
      <c r="B218" s="4"/>
      <c r="C218" s="4"/>
      <c r="D218" s="4" t="str">
        <f>IF(A218="","",SUMIF(Anbar_Idxal!G:G,A218,Anbar_Idxal!H:H))</f>
        <v/>
      </c>
      <c r="E218" s="4" t="str">
        <f>IF(A218="","",SUMIF(Satislar!E:E,A218,Satislar!G:G))</f>
        <v/>
      </c>
      <c r="F218" s="4" t="str">
        <f t="shared" si="1"/>
        <v/>
      </c>
      <c r="G218" s="4" t="str">
        <f>IFERROR(VLOOKUP(A218,Mehsullar!A:F,6,FALSE),"")</f>
        <v/>
      </c>
      <c r="H218" s="4" t="str">
        <f t="shared" si="2"/>
        <v/>
      </c>
    </row>
    <row r="219" ht="15.75" customHeight="1">
      <c r="A219" s="4"/>
      <c r="B219" s="4"/>
      <c r="C219" s="4"/>
      <c r="D219" s="4" t="str">
        <f>IF(A219="","",SUMIF(Anbar_Idxal!G:G,A219,Anbar_Idxal!H:H))</f>
        <v/>
      </c>
      <c r="E219" s="4" t="str">
        <f>IF(A219="","",SUMIF(Satislar!E:E,A219,Satislar!G:G))</f>
        <v/>
      </c>
      <c r="F219" s="4" t="str">
        <f t="shared" si="1"/>
        <v/>
      </c>
      <c r="G219" s="4" t="str">
        <f>IFERROR(VLOOKUP(A219,Mehsullar!A:F,6,FALSE),"")</f>
        <v/>
      </c>
      <c r="H219" s="4" t="str">
        <f t="shared" si="2"/>
        <v/>
      </c>
    </row>
    <row r="220" ht="15.75" customHeight="1">
      <c r="A220" s="4"/>
      <c r="B220" s="4"/>
      <c r="C220" s="4"/>
      <c r="D220" s="4" t="str">
        <f>IF(A220="","",SUMIF(Anbar_Idxal!G:G,A220,Anbar_Idxal!H:H))</f>
        <v/>
      </c>
      <c r="E220" s="4" t="str">
        <f>IF(A220="","",SUMIF(Satislar!E:E,A220,Satislar!G:G))</f>
        <v/>
      </c>
      <c r="F220" s="4" t="str">
        <f t="shared" si="1"/>
        <v/>
      </c>
      <c r="G220" s="4" t="str">
        <f>IFERROR(VLOOKUP(A220,Mehsullar!A:F,6,FALSE),"")</f>
        <v/>
      </c>
      <c r="H220" s="4" t="str">
        <f t="shared" si="2"/>
        <v/>
      </c>
    </row>
    <row r="221" ht="15.75" customHeight="1">
      <c r="A221" s="4"/>
      <c r="B221" s="4"/>
      <c r="C221" s="4"/>
      <c r="D221" s="4" t="str">
        <f>IF(A221="","",SUMIF(Anbar_Idxal!G:G,A221,Anbar_Idxal!H:H))</f>
        <v/>
      </c>
      <c r="E221" s="4" t="str">
        <f>IF(A221="","",SUMIF(Satislar!E:E,A221,Satislar!G:G))</f>
        <v/>
      </c>
      <c r="F221" s="4" t="str">
        <f t="shared" si="1"/>
        <v/>
      </c>
      <c r="G221" s="4" t="str">
        <f>IFERROR(VLOOKUP(A221,Mehsullar!A:F,6,FALSE),"")</f>
        <v/>
      </c>
      <c r="H221" s="4" t="str">
        <f t="shared" si="2"/>
        <v/>
      </c>
    </row>
    <row r="222" ht="15.75" customHeight="1">
      <c r="A222" s="4"/>
      <c r="B222" s="4"/>
      <c r="C222" s="4"/>
      <c r="D222" s="4" t="str">
        <f>IF(A222="","",SUMIF(Anbar_Idxal!G:G,A222,Anbar_Idxal!H:H))</f>
        <v/>
      </c>
      <c r="E222" s="4" t="str">
        <f>IF(A222="","",SUMIF(Satislar!E:E,A222,Satislar!G:G))</f>
        <v/>
      </c>
      <c r="F222" s="4" t="str">
        <f t="shared" si="1"/>
        <v/>
      </c>
      <c r="G222" s="4" t="str">
        <f>IFERROR(VLOOKUP(A222,Mehsullar!A:F,6,FALSE),"")</f>
        <v/>
      </c>
      <c r="H222" s="4" t="str">
        <f t="shared" si="2"/>
        <v/>
      </c>
    </row>
    <row r="223" ht="15.75" customHeight="1">
      <c r="A223" s="4"/>
      <c r="B223" s="4"/>
      <c r="C223" s="4"/>
      <c r="D223" s="4" t="str">
        <f>IF(A223="","",SUMIF(Anbar_Idxal!G:G,A223,Anbar_Idxal!H:H))</f>
        <v/>
      </c>
      <c r="E223" s="4" t="str">
        <f>IF(A223="","",SUMIF(Satislar!E:E,A223,Satislar!G:G))</f>
        <v/>
      </c>
      <c r="F223" s="4" t="str">
        <f t="shared" si="1"/>
        <v/>
      </c>
      <c r="G223" s="4" t="str">
        <f>IFERROR(VLOOKUP(A223,Mehsullar!A:F,6,FALSE),"")</f>
        <v/>
      </c>
      <c r="H223" s="4" t="str">
        <f t="shared" si="2"/>
        <v/>
      </c>
    </row>
    <row r="224" ht="15.75" customHeight="1">
      <c r="A224" s="4"/>
      <c r="B224" s="4"/>
      <c r="C224" s="4"/>
      <c r="D224" s="4" t="str">
        <f>IF(A224="","",SUMIF(Anbar_Idxal!G:G,A224,Anbar_Idxal!H:H))</f>
        <v/>
      </c>
      <c r="E224" s="4" t="str">
        <f>IF(A224="","",SUMIF(Satislar!E:E,A224,Satislar!G:G))</f>
        <v/>
      </c>
      <c r="F224" s="4" t="str">
        <f t="shared" si="1"/>
        <v/>
      </c>
      <c r="G224" s="4" t="str">
        <f>IFERROR(VLOOKUP(A224,Mehsullar!A:F,6,FALSE),"")</f>
        <v/>
      </c>
      <c r="H224" s="4" t="str">
        <f t="shared" si="2"/>
        <v/>
      </c>
    </row>
    <row r="225" ht="15.75" customHeight="1">
      <c r="A225" s="4"/>
      <c r="B225" s="4"/>
      <c r="C225" s="4"/>
      <c r="D225" s="4" t="str">
        <f>IF(A225="","",SUMIF(Anbar_Idxal!G:G,A225,Anbar_Idxal!H:H))</f>
        <v/>
      </c>
      <c r="E225" s="4" t="str">
        <f>IF(A225="","",SUMIF(Satislar!E:E,A225,Satislar!G:G))</f>
        <v/>
      </c>
      <c r="F225" s="4" t="str">
        <f t="shared" si="1"/>
        <v/>
      </c>
      <c r="G225" s="4" t="str">
        <f>IFERROR(VLOOKUP(A225,Mehsullar!A:F,6,FALSE),"")</f>
        <v/>
      </c>
      <c r="H225" s="4" t="str">
        <f t="shared" si="2"/>
        <v/>
      </c>
    </row>
    <row r="226" ht="15.75" customHeight="1">
      <c r="A226" s="4"/>
      <c r="B226" s="4"/>
      <c r="C226" s="4"/>
      <c r="D226" s="4" t="str">
        <f>IF(A226="","",SUMIF(Anbar_Idxal!G:G,A226,Anbar_Idxal!H:H))</f>
        <v/>
      </c>
      <c r="E226" s="4" t="str">
        <f>IF(A226="","",SUMIF(Satislar!E:E,A226,Satislar!G:G))</f>
        <v/>
      </c>
      <c r="F226" s="4" t="str">
        <f t="shared" si="1"/>
        <v/>
      </c>
      <c r="G226" s="4" t="str">
        <f>IFERROR(VLOOKUP(A226,Mehsullar!A:F,6,FALSE),"")</f>
        <v/>
      </c>
      <c r="H226" s="4" t="str">
        <f t="shared" si="2"/>
        <v/>
      </c>
    </row>
    <row r="227" ht="15.75" customHeight="1">
      <c r="A227" s="4"/>
      <c r="B227" s="4"/>
      <c r="C227" s="4"/>
      <c r="D227" s="4" t="str">
        <f>IF(A227="","",SUMIF(Anbar_Idxal!G:G,A227,Anbar_Idxal!H:H))</f>
        <v/>
      </c>
      <c r="E227" s="4" t="str">
        <f>IF(A227="","",SUMIF(Satislar!E:E,A227,Satislar!G:G))</f>
        <v/>
      </c>
      <c r="F227" s="4" t="str">
        <f t="shared" si="1"/>
        <v/>
      </c>
      <c r="G227" s="4" t="str">
        <f>IFERROR(VLOOKUP(A227,Mehsullar!A:F,6,FALSE),"")</f>
        <v/>
      </c>
      <c r="H227" s="4" t="str">
        <f t="shared" si="2"/>
        <v/>
      </c>
    </row>
    <row r="228" ht="15.75" customHeight="1">
      <c r="A228" s="4"/>
      <c r="B228" s="4"/>
      <c r="C228" s="4"/>
      <c r="D228" s="4" t="str">
        <f>IF(A228="","",SUMIF(Anbar_Idxal!G:G,A228,Anbar_Idxal!H:H))</f>
        <v/>
      </c>
      <c r="E228" s="4" t="str">
        <f>IF(A228="","",SUMIF(Satislar!E:E,A228,Satislar!G:G))</f>
        <v/>
      </c>
      <c r="F228" s="4" t="str">
        <f t="shared" si="1"/>
        <v/>
      </c>
      <c r="G228" s="4" t="str">
        <f>IFERROR(VLOOKUP(A228,Mehsullar!A:F,6,FALSE),"")</f>
        <v/>
      </c>
      <c r="H228" s="4" t="str">
        <f t="shared" si="2"/>
        <v/>
      </c>
    </row>
    <row r="229" ht="15.75" customHeight="1">
      <c r="A229" s="4"/>
      <c r="B229" s="4"/>
      <c r="C229" s="4"/>
      <c r="D229" s="4" t="str">
        <f>IF(A229="","",SUMIF(Anbar_Idxal!G:G,A229,Anbar_Idxal!H:H))</f>
        <v/>
      </c>
      <c r="E229" s="4" t="str">
        <f>IF(A229="","",SUMIF(Satislar!E:E,A229,Satislar!G:G))</f>
        <v/>
      </c>
      <c r="F229" s="4" t="str">
        <f t="shared" si="1"/>
        <v/>
      </c>
      <c r="G229" s="4" t="str">
        <f>IFERROR(VLOOKUP(A229,Mehsullar!A:F,6,FALSE),"")</f>
        <v/>
      </c>
      <c r="H229" s="4" t="str">
        <f t="shared" si="2"/>
        <v/>
      </c>
    </row>
    <row r="230" ht="15.75" customHeight="1">
      <c r="A230" s="4"/>
      <c r="B230" s="4"/>
      <c r="C230" s="4"/>
      <c r="D230" s="4" t="str">
        <f>IF(A230="","",SUMIF(Anbar_Idxal!G:G,A230,Anbar_Idxal!H:H))</f>
        <v/>
      </c>
      <c r="E230" s="4" t="str">
        <f>IF(A230="","",SUMIF(Satislar!E:E,A230,Satislar!G:G))</f>
        <v/>
      </c>
      <c r="F230" s="4" t="str">
        <f t="shared" si="1"/>
        <v/>
      </c>
      <c r="G230" s="4" t="str">
        <f>IFERROR(VLOOKUP(A230,Mehsullar!A:F,6,FALSE),"")</f>
        <v/>
      </c>
      <c r="H230" s="4" t="str">
        <f t="shared" si="2"/>
        <v/>
      </c>
    </row>
    <row r="231" ht="15.75" customHeight="1">
      <c r="A231" s="4"/>
      <c r="B231" s="4"/>
      <c r="C231" s="4"/>
      <c r="D231" s="4" t="str">
        <f>IF(A231="","",SUMIF(Anbar_Idxal!G:G,A231,Anbar_Idxal!H:H))</f>
        <v/>
      </c>
      <c r="E231" s="4" t="str">
        <f>IF(A231="","",SUMIF(Satislar!E:E,A231,Satislar!G:G))</f>
        <v/>
      </c>
      <c r="F231" s="4" t="str">
        <f t="shared" si="1"/>
        <v/>
      </c>
      <c r="G231" s="4" t="str">
        <f>IFERROR(VLOOKUP(A231,Mehsullar!A:F,6,FALSE),"")</f>
        <v/>
      </c>
      <c r="H231" s="4" t="str">
        <f t="shared" si="2"/>
        <v/>
      </c>
    </row>
    <row r="232" ht="15.75" customHeight="1">
      <c r="A232" s="4"/>
      <c r="B232" s="4"/>
      <c r="C232" s="4"/>
      <c r="D232" s="4" t="str">
        <f>IF(A232="","",SUMIF(Anbar_Idxal!G:G,A232,Anbar_Idxal!H:H))</f>
        <v/>
      </c>
      <c r="E232" s="4" t="str">
        <f>IF(A232="","",SUMIF(Satislar!E:E,A232,Satislar!G:G))</f>
        <v/>
      </c>
      <c r="F232" s="4" t="str">
        <f t="shared" si="1"/>
        <v/>
      </c>
      <c r="G232" s="4" t="str">
        <f>IFERROR(VLOOKUP(A232,Mehsullar!A:F,6,FALSE),"")</f>
        <v/>
      </c>
      <c r="H232" s="4" t="str">
        <f t="shared" si="2"/>
        <v/>
      </c>
    </row>
    <row r="233" ht="15.75" customHeight="1">
      <c r="A233" s="4"/>
      <c r="B233" s="4"/>
      <c r="C233" s="4"/>
      <c r="D233" s="4" t="str">
        <f>IF(A233="","",SUMIF(Anbar_Idxal!G:G,A233,Anbar_Idxal!H:H))</f>
        <v/>
      </c>
      <c r="E233" s="4" t="str">
        <f>IF(A233="","",SUMIF(Satislar!E:E,A233,Satislar!G:G))</f>
        <v/>
      </c>
      <c r="F233" s="4" t="str">
        <f t="shared" si="1"/>
        <v/>
      </c>
      <c r="G233" s="4" t="str">
        <f>IFERROR(VLOOKUP(A233,Mehsullar!A:F,6,FALSE),"")</f>
        <v/>
      </c>
      <c r="H233" s="4" t="str">
        <f t="shared" si="2"/>
        <v/>
      </c>
    </row>
    <row r="234" ht="15.75" customHeight="1">
      <c r="A234" s="4"/>
      <c r="B234" s="4"/>
      <c r="C234" s="4"/>
      <c r="D234" s="4" t="str">
        <f>IF(A234="","",SUMIF(Anbar_Idxal!G:G,A234,Anbar_Idxal!H:H))</f>
        <v/>
      </c>
      <c r="E234" s="4" t="str">
        <f>IF(A234="","",SUMIF(Satislar!E:E,A234,Satislar!G:G))</f>
        <v/>
      </c>
      <c r="F234" s="4" t="str">
        <f t="shared" si="1"/>
        <v/>
      </c>
      <c r="G234" s="4" t="str">
        <f>IFERROR(VLOOKUP(A234,Mehsullar!A:F,6,FALSE),"")</f>
        <v/>
      </c>
      <c r="H234" s="4" t="str">
        <f t="shared" si="2"/>
        <v/>
      </c>
    </row>
    <row r="235" ht="15.75" customHeight="1">
      <c r="A235" s="4"/>
      <c r="B235" s="4"/>
      <c r="C235" s="4"/>
      <c r="D235" s="4" t="str">
        <f>IF(A235="","",SUMIF(Anbar_Idxal!G:G,A235,Anbar_Idxal!H:H))</f>
        <v/>
      </c>
      <c r="E235" s="4" t="str">
        <f>IF(A235="","",SUMIF(Satislar!E:E,A235,Satislar!G:G))</f>
        <v/>
      </c>
      <c r="F235" s="4" t="str">
        <f t="shared" si="1"/>
        <v/>
      </c>
      <c r="G235" s="4" t="str">
        <f>IFERROR(VLOOKUP(A235,Mehsullar!A:F,6,FALSE),"")</f>
        <v/>
      </c>
      <c r="H235" s="4" t="str">
        <f t="shared" si="2"/>
        <v/>
      </c>
    </row>
    <row r="236" ht="15.75" customHeight="1">
      <c r="A236" s="4"/>
      <c r="B236" s="4"/>
      <c r="C236" s="4"/>
      <c r="D236" s="4" t="str">
        <f>IF(A236="","",SUMIF(Anbar_Idxal!G:G,A236,Anbar_Idxal!H:H))</f>
        <v/>
      </c>
      <c r="E236" s="4" t="str">
        <f>IF(A236="","",SUMIF(Satislar!E:E,A236,Satislar!G:G))</f>
        <v/>
      </c>
      <c r="F236" s="4" t="str">
        <f t="shared" si="1"/>
        <v/>
      </c>
      <c r="G236" s="4" t="str">
        <f>IFERROR(VLOOKUP(A236,Mehsullar!A:F,6,FALSE),"")</f>
        <v/>
      </c>
      <c r="H236" s="4" t="str">
        <f t="shared" si="2"/>
        <v/>
      </c>
    </row>
    <row r="237" ht="15.75" customHeight="1">
      <c r="A237" s="4"/>
      <c r="B237" s="4"/>
      <c r="C237" s="4"/>
      <c r="D237" s="4" t="str">
        <f>IF(A237="","",SUMIF(Anbar_Idxal!G:G,A237,Anbar_Idxal!H:H))</f>
        <v/>
      </c>
      <c r="E237" s="4" t="str">
        <f>IF(A237="","",SUMIF(Satislar!E:E,A237,Satislar!G:G))</f>
        <v/>
      </c>
      <c r="F237" s="4" t="str">
        <f t="shared" si="1"/>
        <v/>
      </c>
      <c r="G237" s="4" t="str">
        <f>IFERROR(VLOOKUP(A237,Mehsullar!A:F,6,FALSE),"")</f>
        <v/>
      </c>
      <c r="H237" s="4" t="str">
        <f t="shared" si="2"/>
        <v/>
      </c>
    </row>
    <row r="238" ht="15.75" customHeight="1">
      <c r="A238" s="4"/>
      <c r="B238" s="4"/>
      <c r="C238" s="4"/>
      <c r="D238" s="4" t="str">
        <f>IF(A238="","",SUMIF(Anbar_Idxal!G:G,A238,Anbar_Idxal!H:H))</f>
        <v/>
      </c>
      <c r="E238" s="4" t="str">
        <f>IF(A238="","",SUMIF(Satislar!E:E,A238,Satislar!G:G))</f>
        <v/>
      </c>
      <c r="F238" s="4" t="str">
        <f t="shared" si="1"/>
        <v/>
      </c>
      <c r="G238" s="4" t="str">
        <f>IFERROR(VLOOKUP(A238,Mehsullar!A:F,6,FALSE),"")</f>
        <v/>
      </c>
      <c r="H238" s="4" t="str">
        <f t="shared" si="2"/>
        <v/>
      </c>
    </row>
    <row r="239" ht="15.75" customHeight="1">
      <c r="A239" s="4"/>
      <c r="B239" s="4"/>
      <c r="C239" s="4"/>
      <c r="D239" s="4" t="str">
        <f>IF(A239="","",SUMIF(Anbar_Idxal!G:G,A239,Anbar_Idxal!H:H))</f>
        <v/>
      </c>
      <c r="E239" s="4" t="str">
        <f>IF(A239="","",SUMIF(Satislar!E:E,A239,Satislar!G:G))</f>
        <v/>
      </c>
      <c r="F239" s="4" t="str">
        <f t="shared" si="1"/>
        <v/>
      </c>
      <c r="G239" s="4" t="str">
        <f>IFERROR(VLOOKUP(A239,Mehsullar!A:F,6,FALSE),"")</f>
        <v/>
      </c>
      <c r="H239" s="4" t="str">
        <f t="shared" si="2"/>
        <v/>
      </c>
    </row>
    <row r="240" ht="15.75" customHeight="1">
      <c r="A240" s="4"/>
      <c r="B240" s="4"/>
      <c r="C240" s="4"/>
      <c r="D240" s="4" t="str">
        <f>IF(A240="","",SUMIF(Anbar_Idxal!G:G,A240,Anbar_Idxal!H:H))</f>
        <v/>
      </c>
      <c r="E240" s="4" t="str">
        <f>IF(A240="","",SUMIF(Satislar!E:E,A240,Satislar!G:G))</f>
        <v/>
      </c>
      <c r="F240" s="4" t="str">
        <f t="shared" si="1"/>
        <v/>
      </c>
      <c r="G240" s="4" t="str">
        <f>IFERROR(VLOOKUP(A240,Mehsullar!A:F,6,FALSE),"")</f>
        <v/>
      </c>
      <c r="H240" s="4" t="str">
        <f t="shared" si="2"/>
        <v/>
      </c>
    </row>
    <row r="241" ht="15.75" customHeight="1">
      <c r="A241" s="4"/>
      <c r="B241" s="4"/>
      <c r="C241" s="4"/>
      <c r="D241" s="4" t="str">
        <f>IF(A241="","",SUMIF(Anbar_Idxal!G:G,A241,Anbar_Idxal!H:H))</f>
        <v/>
      </c>
      <c r="E241" s="4" t="str">
        <f>IF(A241="","",SUMIF(Satislar!E:E,A241,Satislar!G:G))</f>
        <v/>
      </c>
      <c r="F241" s="4" t="str">
        <f t="shared" si="1"/>
        <v/>
      </c>
      <c r="G241" s="4" t="str">
        <f>IFERROR(VLOOKUP(A241,Mehsullar!A:F,6,FALSE),"")</f>
        <v/>
      </c>
      <c r="H241" s="4" t="str">
        <f t="shared" si="2"/>
        <v/>
      </c>
    </row>
    <row r="242" ht="15.75" customHeight="1">
      <c r="A242" s="4"/>
      <c r="B242" s="4"/>
      <c r="C242" s="4"/>
      <c r="D242" s="4" t="str">
        <f>IF(A242="","",SUMIF(Anbar_Idxal!G:G,A242,Anbar_Idxal!H:H))</f>
        <v/>
      </c>
      <c r="E242" s="4" t="str">
        <f>IF(A242="","",SUMIF(Satislar!E:E,A242,Satislar!G:G))</f>
        <v/>
      </c>
      <c r="F242" s="4" t="str">
        <f t="shared" si="1"/>
        <v/>
      </c>
      <c r="G242" s="4" t="str">
        <f>IFERROR(VLOOKUP(A242,Mehsullar!A:F,6,FALSE),"")</f>
        <v/>
      </c>
      <c r="H242" s="4" t="str">
        <f t="shared" si="2"/>
        <v/>
      </c>
    </row>
    <row r="243" ht="15.75" customHeight="1">
      <c r="A243" s="4"/>
      <c r="B243" s="4"/>
      <c r="C243" s="4"/>
      <c r="D243" s="4" t="str">
        <f>IF(A243="","",SUMIF(Anbar_Idxal!G:G,A243,Anbar_Idxal!H:H))</f>
        <v/>
      </c>
      <c r="E243" s="4" t="str">
        <f>IF(A243="","",SUMIF(Satislar!E:E,A243,Satislar!G:G))</f>
        <v/>
      </c>
      <c r="F243" s="4" t="str">
        <f t="shared" si="1"/>
        <v/>
      </c>
      <c r="G243" s="4" t="str">
        <f>IFERROR(VLOOKUP(A243,Mehsullar!A:F,6,FALSE),"")</f>
        <v/>
      </c>
      <c r="H243" s="4" t="str">
        <f t="shared" si="2"/>
        <v/>
      </c>
    </row>
    <row r="244" ht="15.75" customHeight="1">
      <c r="A244" s="4"/>
      <c r="B244" s="4"/>
      <c r="C244" s="4"/>
      <c r="D244" s="4" t="str">
        <f>IF(A244="","",SUMIF(Anbar_Idxal!G:G,A244,Anbar_Idxal!H:H))</f>
        <v/>
      </c>
      <c r="E244" s="4" t="str">
        <f>IF(A244="","",SUMIF(Satislar!E:E,A244,Satislar!G:G))</f>
        <v/>
      </c>
      <c r="F244" s="4" t="str">
        <f t="shared" si="1"/>
        <v/>
      </c>
      <c r="G244" s="4" t="str">
        <f>IFERROR(VLOOKUP(A244,Mehsullar!A:F,6,FALSE),"")</f>
        <v/>
      </c>
      <c r="H244" s="4" t="str">
        <f t="shared" si="2"/>
        <v/>
      </c>
    </row>
    <row r="245" ht="15.75" customHeight="1">
      <c r="A245" s="4"/>
      <c r="B245" s="4"/>
      <c r="C245" s="4"/>
      <c r="D245" s="4" t="str">
        <f>IF(A245="","",SUMIF(Anbar_Idxal!G:G,A245,Anbar_Idxal!H:H))</f>
        <v/>
      </c>
      <c r="E245" s="4" t="str">
        <f>IF(A245="","",SUMIF(Satislar!E:E,A245,Satislar!G:G))</f>
        <v/>
      </c>
      <c r="F245" s="4" t="str">
        <f t="shared" si="1"/>
        <v/>
      </c>
      <c r="G245" s="4" t="str">
        <f>IFERROR(VLOOKUP(A245,Mehsullar!A:F,6,FALSE),"")</f>
        <v/>
      </c>
      <c r="H245" s="4" t="str">
        <f t="shared" si="2"/>
        <v/>
      </c>
    </row>
    <row r="246" ht="15.75" customHeight="1">
      <c r="A246" s="4"/>
      <c r="B246" s="4"/>
      <c r="C246" s="4"/>
      <c r="D246" s="4" t="str">
        <f>IF(A246="","",SUMIF(Anbar_Idxal!G:G,A246,Anbar_Idxal!H:H))</f>
        <v/>
      </c>
      <c r="E246" s="4" t="str">
        <f>IF(A246="","",SUMIF(Satislar!E:E,A246,Satislar!G:G))</f>
        <v/>
      </c>
      <c r="F246" s="4" t="str">
        <f t="shared" si="1"/>
        <v/>
      </c>
      <c r="G246" s="4" t="str">
        <f>IFERROR(VLOOKUP(A246,Mehsullar!A:F,6,FALSE),"")</f>
        <v/>
      </c>
      <c r="H246" s="4" t="str">
        <f t="shared" si="2"/>
        <v/>
      </c>
    </row>
    <row r="247" ht="15.75" customHeight="1">
      <c r="A247" s="4"/>
      <c r="B247" s="4"/>
      <c r="C247" s="4"/>
      <c r="D247" s="4" t="str">
        <f>IF(A247="","",SUMIF(Anbar_Idxal!G:G,A247,Anbar_Idxal!H:H))</f>
        <v/>
      </c>
      <c r="E247" s="4" t="str">
        <f>IF(A247="","",SUMIF(Satislar!E:E,A247,Satislar!G:G))</f>
        <v/>
      </c>
      <c r="F247" s="4" t="str">
        <f t="shared" si="1"/>
        <v/>
      </c>
      <c r="G247" s="4" t="str">
        <f>IFERROR(VLOOKUP(A247,Mehsullar!A:F,6,FALSE),"")</f>
        <v/>
      </c>
      <c r="H247" s="4" t="str">
        <f t="shared" si="2"/>
        <v/>
      </c>
    </row>
    <row r="248" ht="15.75" customHeight="1">
      <c r="A248" s="4"/>
      <c r="B248" s="4"/>
      <c r="C248" s="4"/>
      <c r="D248" s="4" t="str">
        <f>IF(A248="","",SUMIF(Anbar_Idxal!G:G,A248,Anbar_Idxal!H:H))</f>
        <v/>
      </c>
      <c r="E248" s="4" t="str">
        <f>IF(A248="","",SUMIF(Satislar!E:E,A248,Satislar!G:G))</f>
        <v/>
      </c>
      <c r="F248" s="4" t="str">
        <f t="shared" si="1"/>
        <v/>
      </c>
      <c r="G248" s="4" t="str">
        <f>IFERROR(VLOOKUP(A248,Mehsullar!A:F,6,FALSE),"")</f>
        <v/>
      </c>
      <c r="H248" s="4" t="str">
        <f t="shared" si="2"/>
        <v/>
      </c>
    </row>
    <row r="249" ht="15.75" customHeight="1">
      <c r="A249" s="4"/>
      <c r="B249" s="4"/>
      <c r="C249" s="4"/>
      <c r="D249" s="4" t="str">
        <f>IF(A249="","",SUMIF(Anbar_Idxal!G:G,A249,Anbar_Idxal!H:H))</f>
        <v/>
      </c>
      <c r="E249" s="4" t="str">
        <f>IF(A249="","",SUMIF(Satislar!E:E,A249,Satislar!G:G))</f>
        <v/>
      </c>
      <c r="F249" s="4" t="str">
        <f t="shared" si="1"/>
        <v/>
      </c>
      <c r="G249" s="4" t="str">
        <f>IFERROR(VLOOKUP(A249,Mehsullar!A:F,6,FALSE),"")</f>
        <v/>
      </c>
      <c r="H249" s="4" t="str">
        <f t="shared" si="2"/>
        <v/>
      </c>
    </row>
    <row r="250" ht="15.75" customHeight="1">
      <c r="A250" s="4"/>
      <c r="B250" s="4"/>
      <c r="C250" s="4"/>
      <c r="D250" s="4" t="str">
        <f>IF(A250="","",SUMIF(Anbar_Idxal!G:G,A250,Anbar_Idxal!H:H))</f>
        <v/>
      </c>
      <c r="E250" s="4" t="str">
        <f>IF(A250="","",SUMIF(Satislar!E:E,A250,Satislar!G:G))</f>
        <v/>
      </c>
      <c r="F250" s="4" t="str">
        <f t="shared" si="1"/>
        <v/>
      </c>
      <c r="G250" s="4" t="str">
        <f>IFERROR(VLOOKUP(A250,Mehsullar!A:F,6,FALSE),"")</f>
        <v/>
      </c>
      <c r="H250" s="4" t="str">
        <f t="shared" si="2"/>
        <v/>
      </c>
    </row>
    <row r="251" ht="15.75" customHeight="1">
      <c r="A251" s="4"/>
      <c r="B251" s="4"/>
      <c r="C251" s="4"/>
      <c r="D251" s="4" t="str">
        <f>IF(A251="","",SUMIF(Anbar_Idxal!G:G,A251,Anbar_Idxal!H:H))</f>
        <v/>
      </c>
      <c r="E251" s="4" t="str">
        <f>IF(A251="","",SUMIF(Satislar!E:E,A251,Satislar!G:G))</f>
        <v/>
      </c>
      <c r="F251" s="4" t="str">
        <f t="shared" si="1"/>
        <v/>
      </c>
      <c r="G251" s="4" t="str">
        <f>IFERROR(VLOOKUP(A251,Mehsullar!A:F,6,FALSE),"")</f>
        <v/>
      </c>
      <c r="H251" s="4" t="str">
        <f t="shared" si="2"/>
        <v/>
      </c>
    </row>
    <row r="252" ht="15.75" customHeight="1">
      <c r="A252" s="4"/>
      <c r="B252" s="4"/>
      <c r="C252" s="4"/>
      <c r="D252" s="4" t="str">
        <f>IF(A252="","",SUMIF(Anbar_Idxal!G:G,A252,Anbar_Idxal!H:H))</f>
        <v/>
      </c>
      <c r="E252" s="4" t="str">
        <f>IF(A252="","",SUMIF(Satislar!E:E,A252,Satislar!G:G))</f>
        <v/>
      </c>
      <c r="F252" s="4" t="str">
        <f t="shared" si="1"/>
        <v/>
      </c>
      <c r="G252" s="4" t="str">
        <f>IFERROR(VLOOKUP(A252,Mehsullar!A:F,6,FALSE),"")</f>
        <v/>
      </c>
      <c r="H252" s="4" t="str">
        <f t="shared" si="2"/>
        <v/>
      </c>
    </row>
    <row r="253" ht="15.75" customHeight="1">
      <c r="A253" s="4"/>
      <c r="B253" s="4"/>
      <c r="C253" s="4"/>
      <c r="D253" s="4" t="str">
        <f>IF(A253="","",SUMIF(Anbar_Idxal!G:G,A253,Anbar_Idxal!H:H))</f>
        <v/>
      </c>
      <c r="E253" s="4" t="str">
        <f>IF(A253="","",SUMIF(Satislar!E:E,A253,Satislar!G:G))</f>
        <v/>
      </c>
      <c r="F253" s="4" t="str">
        <f t="shared" si="1"/>
        <v/>
      </c>
      <c r="G253" s="4" t="str">
        <f>IFERROR(VLOOKUP(A253,Mehsullar!A:F,6,FALSE),"")</f>
        <v/>
      </c>
      <c r="H253" s="4" t="str">
        <f t="shared" si="2"/>
        <v/>
      </c>
    </row>
    <row r="254" ht="15.75" customHeight="1">
      <c r="A254" s="4"/>
      <c r="B254" s="4"/>
      <c r="C254" s="4"/>
      <c r="D254" s="4" t="str">
        <f>IF(A254="","",SUMIF(Anbar_Idxal!G:G,A254,Anbar_Idxal!H:H))</f>
        <v/>
      </c>
      <c r="E254" s="4" t="str">
        <f>IF(A254="","",SUMIF(Satislar!E:E,A254,Satislar!G:G))</f>
        <v/>
      </c>
      <c r="F254" s="4" t="str">
        <f t="shared" si="1"/>
        <v/>
      </c>
      <c r="G254" s="4" t="str">
        <f>IFERROR(VLOOKUP(A254,Mehsullar!A:F,6,FALSE),"")</f>
        <v/>
      </c>
      <c r="H254" s="4" t="str">
        <f t="shared" si="2"/>
        <v/>
      </c>
    </row>
    <row r="255" ht="15.75" customHeight="1">
      <c r="A255" s="4"/>
      <c r="B255" s="4"/>
      <c r="C255" s="4"/>
      <c r="D255" s="4" t="str">
        <f>IF(A255="","",SUMIF(Anbar_Idxal!G:G,A255,Anbar_Idxal!H:H))</f>
        <v/>
      </c>
      <c r="E255" s="4" t="str">
        <f>IF(A255="","",SUMIF(Satislar!E:E,A255,Satislar!G:G))</f>
        <v/>
      </c>
      <c r="F255" s="4" t="str">
        <f t="shared" si="1"/>
        <v/>
      </c>
      <c r="G255" s="4" t="str">
        <f>IFERROR(VLOOKUP(A255,Mehsullar!A:F,6,FALSE),"")</f>
        <v/>
      </c>
      <c r="H255" s="4" t="str">
        <f t="shared" si="2"/>
        <v/>
      </c>
    </row>
    <row r="256" ht="15.75" customHeight="1">
      <c r="A256" s="4"/>
      <c r="B256" s="4"/>
      <c r="C256" s="4"/>
      <c r="D256" s="4" t="str">
        <f>IF(A256="","",SUMIF(Anbar_Idxal!G:G,A256,Anbar_Idxal!H:H))</f>
        <v/>
      </c>
      <c r="E256" s="4" t="str">
        <f>IF(A256="","",SUMIF(Satislar!E:E,A256,Satislar!G:G))</f>
        <v/>
      </c>
      <c r="F256" s="4" t="str">
        <f t="shared" si="1"/>
        <v/>
      </c>
      <c r="G256" s="4" t="str">
        <f>IFERROR(VLOOKUP(A256,Mehsullar!A:F,6,FALSE),"")</f>
        <v/>
      </c>
      <c r="H256" s="4" t="str">
        <f t="shared" si="2"/>
        <v/>
      </c>
    </row>
    <row r="257" ht="15.75" customHeight="1">
      <c r="A257" s="4"/>
      <c r="B257" s="4"/>
      <c r="C257" s="4"/>
      <c r="D257" s="4" t="str">
        <f>IF(A257="","",SUMIF(Anbar_Idxal!G:G,A257,Anbar_Idxal!H:H))</f>
        <v/>
      </c>
      <c r="E257" s="4" t="str">
        <f>IF(A257="","",SUMIF(Satislar!E:E,A257,Satislar!G:G))</f>
        <v/>
      </c>
      <c r="F257" s="4" t="str">
        <f t="shared" si="1"/>
        <v/>
      </c>
      <c r="G257" s="4" t="str">
        <f>IFERROR(VLOOKUP(A257,Mehsullar!A:F,6,FALSE),"")</f>
        <v/>
      </c>
      <c r="H257" s="4" t="str">
        <f t="shared" si="2"/>
        <v/>
      </c>
    </row>
    <row r="258" ht="15.75" customHeight="1">
      <c r="A258" s="4"/>
      <c r="B258" s="4"/>
      <c r="C258" s="4"/>
      <c r="D258" s="4" t="str">
        <f>IF(A258="","",SUMIF(Anbar_Idxal!G:G,A258,Anbar_Idxal!H:H))</f>
        <v/>
      </c>
      <c r="E258" s="4" t="str">
        <f>IF(A258="","",SUMIF(Satislar!E:E,A258,Satislar!G:G))</f>
        <v/>
      </c>
      <c r="F258" s="4" t="str">
        <f t="shared" si="1"/>
        <v/>
      </c>
      <c r="G258" s="4" t="str">
        <f>IFERROR(VLOOKUP(A258,Mehsullar!A:F,6,FALSE),"")</f>
        <v/>
      </c>
      <c r="H258" s="4" t="str">
        <f t="shared" si="2"/>
        <v/>
      </c>
    </row>
    <row r="259" ht="15.75" customHeight="1">
      <c r="A259" s="4"/>
      <c r="B259" s="4"/>
      <c r="C259" s="4"/>
      <c r="D259" s="4" t="str">
        <f>IF(A259="","",SUMIF(Anbar_Idxal!G:G,A259,Anbar_Idxal!H:H))</f>
        <v/>
      </c>
      <c r="E259" s="4" t="str">
        <f>IF(A259="","",SUMIF(Satislar!E:E,A259,Satislar!G:G))</f>
        <v/>
      </c>
      <c r="F259" s="4" t="str">
        <f t="shared" si="1"/>
        <v/>
      </c>
      <c r="G259" s="4" t="str">
        <f>IFERROR(VLOOKUP(A259,Mehsullar!A:F,6,FALSE),"")</f>
        <v/>
      </c>
      <c r="H259" s="4" t="str">
        <f t="shared" si="2"/>
        <v/>
      </c>
    </row>
    <row r="260" ht="15.75" customHeight="1">
      <c r="A260" s="4"/>
      <c r="B260" s="4"/>
      <c r="C260" s="4"/>
      <c r="D260" s="4" t="str">
        <f>IF(A260="","",SUMIF(Anbar_Idxal!G:G,A260,Anbar_Idxal!H:H))</f>
        <v/>
      </c>
      <c r="E260" s="4" t="str">
        <f>IF(A260="","",SUMIF(Satislar!E:E,A260,Satislar!G:G))</f>
        <v/>
      </c>
      <c r="F260" s="4" t="str">
        <f t="shared" si="1"/>
        <v/>
      </c>
      <c r="G260" s="4" t="str">
        <f>IFERROR(VLOOKUP(A260,Mehsullar!A:F,6,FALSE),"")</f>
        <v/>
      </c>
      <c r="H260" s="4" t="str">
        <f t="shared" si="2"/>
        <v/>
      </c>
    </row>
    <row r="261" ht="15.75" customHeight="1">
      <c r="A261" s="4"/>
      <c r="B261" s="4"/>
      <c r="C261" s="4"/>
      <c r="D261" s="4" t="str">
        <f>IF(A261="","",SUMIF(Anbar_Idxal!G:G,A261,Anbar_Idxal!H:H))</f>
        <v/>
      </c>
      <c r="E261" s="4" t="str">
        <f>IF(A261="","",SUMIF(Satislar!E:E,A261,Satislar!G:G))</f>
        <v/>
      </c>
      <c r="F261" s="4" t="str">
        <f t="shared" si="1"/>
        <v/>
      </c>
      <c r="G261" s="4" t="str">
        <f>IFERROR(VLOOKUP(A261,Mehsullar!A:F,6,FALSE),"")</f>
        <v/>
      </c>
      <c r="H261" s="4" t="str">
        <f t="shared" si="2"/>
        <v/>
      </c>
    </row>
    <row r="262" ht="15.75" customHeight="1">
      <c r="A262" s="4"/>
      <c r="B262" s="4"/>
      <c r="C262" s="4"/>
      <c r="D262" s="4" t="str">
        <f>IF(A262="","",SUMIF(Anbar_Idxal!G:G,A262,Anbar_Idxal!H:H))</f>
        <v/>
      </c>
      <c r="E262" s="4" t="str">
        <f>IF(A262="","",SUMIF(Satislar!E:E,A262,Satislar!G:G))</f>
        <v/>
      </c>
      <c r="F262" s="4" t="str">
        <f t="shared" si="1"/>
        <v/>
      </c>
      <c r="G262" s="4" t="str">
        <f>IFERROR(VLOOKUP(A262,Mehsullar!A:F,6,FALSE),"")</f>
        <v/>
      </c>
      <c r="H262" s="4" t="str">
        <f t="shared" si="2"/>
        <v/>
      </c>
    </row>
    <row r="263" ht="15.75" customHeight="1">
      <c r="A263" s="4"/>
      <c r="B263" s="4"/>
      <c r="C263" s="4"/>
      <c r="D263" s="4" t="str">
        <f>IF(A263="","",SUMIF(Anbar_Idxal!G:G,A263,Anbar_Idxal!H:H))</f>
        <v/>
      </c>
      <c r="E263" s="4" t="str">
        <f>IF(A263="","",SUMIF(Satislar!E:E,A263,Satislar!G:G))</f>
        <v/>
      </c>
      <c r="F263" s="4" t="str">
        <f t="shared" si="1"/>
        <v/>
      </c>
      <c r="G263" s="4" t="str">
        <f>IFERROR(VLOOKUP(A263,Mehsullar!A:F,6,FALSE),"")</f>
        <v/>
      </c>
      <c r="H263" s="4" t="str">
        <f t="shared" si="2"/>
        <v/>
      </c>
    </row>
    <row r="264" ht="15.75" customHeight="1">
      <c r="A264" s="4"/>
      <c r="B264" s="4"/>
      <c r="C264" s="4"/>
      <c r="D264" s="4" t="str">
        <f>IF(A264="","",SUMIF(Anbar_Idxal!G:G,A264,Anbar_Idxal!H:H))</f>
        <v/>
      </c>
      <c r="E264" s="4" t="str">
        <f>IF(A264="","",SUMIF(Satislar!E:E,A264,Satislar!G:G))</f>
        <v/>
      </c>
      <c r="F264" s="4" t="str">
        <f t="shared" si="1"/>
        <v/>
      </c>
      <c r="G264" s="4" t="str">
        <f>IFERROR(VLOOKUP(A264,Mehsullar!A:F,6,FALSE),"")</f>
        <v/>
      </c>
      <c r="H264" s="4" t="str">
        <f t="shared" si="2"/>
        <v/>
      </c>
    </row>
    <row r="265" ht="15.75" customHeight="1">
      <c r="A265" s="4"/>
      <c r="B265" s="4"/>
      <c r="C265" s="4"/>
      <c r="D265" s="4" t="str">
        <f>IF(A265="","",SUMIF(Anbar_Idxal!G:G,A265,Anbar_Idxal!H:H))</f>
        <v/>
      </c>
      <c r="E265" s="4" t="str">
        <f>IF(A265="","",SUMIF(Satislar!E:E,A265,Satislar!G:G))</f>
        <v/>
      </c>
      <c r="F265" s="4" t="str">
        <f t="shared" si="1"/>
        <v/>
      </c>
      <c r="G265" s="4" t="str">
        <f>IFERROR(VLOOKUP(A265,Mehsullar!A:F,6,FALSE),"")</f>
        <v/>
      </c>
      <c r="H265" s="4" t="str">
        <f t="shared" si="2"/>
        <v/>
      </c>
    </row>
    <row r="266" ht="15.75" customHeight="1">
      <c r="A266" s="4"/>
      <c r="B266" s="4"/>
      <c r="C266" s="4"/>
      <c r="D266" s="4" t="str">
        <f>IF(A266="","",SUMIF(Anbar_Idxal!G:G,A266,Anbar_Idxal!H:H))</f>
        <v/>
      </c>
      <c r="E266" s="4" t="str">
        <f>IF(A266="","",SUMIF(Satislar!E:E,A266,Satislar!G:G))</f>
        <v/>
      </c>
      <c r="F266" s="4" t="str">
        <f t="shared" si="1"/>
        <v/>
      </c>
      <c r="G266" s="4" t="str">
        <f>IFERROR(VLOOKUP(A266,Mehsullar!A:F,6,FALSE),"")</f>
        <v/>
      </c>
      <c r="H266" s="4" t="str">
        <f t="shared" si="2"/>
        <v/>
      </c>
    </row>
    <row r="267" ht="15.75" customHeight="1">
      <c r="A267" s="4"/>
      <c r="B267" s="4"/>
      <c r="C267" s="4"/>
      <c r="D267" s="4" t="str">
        <f>IF(A267="","",SUMIF(Anbar_Idxal!G:G,A267,Anbar_Idxal!H:H))</f>
        <v/>
      </c>
      <c r="E267" s="4" t="str">
        <f>IF(A267="","",SUMIF(Satislar!E:E,A267,Satislar!G:G))</f>
        <v/>
      </c>
      <c r="F267" s="4" t="str">
        <f t="shared" si="1"/>
        <v/>
      </c>
      <c r="G267" s="4" t="str">
        <f>IFERROR(VLOOKUP(A267,Mehsullar!A:F,6,FALSE),"")</f>
        <v/>
      </c>
      <c r="H267" s="4" t="str">
        <f t="shared" si="2"/>
        <v/>
      </c>
    </row>
    <row r="268" ht="15.75" customHeight="1">
      <c r="A268" s="4"/>
      <c r="B268" s="4"/>
      <c r="C268" s="4"/>
      <c r="D268" s="4" t="str">
        <f>IF(A268="","",SUMIF(Anbar_Idxal!G:G,A268,Anbar_Idxal!H:H))</f>
        <v/>
      </c>
      <c r="E268" s="4" t="str">
        <f>IF(A268="","",SUMIF(Satislar!E:E,A268,Satislar!G:G))</f>
        <v/>
      </c>
      <c r="F268" s="4" t="str">
        <f t="shared" si="1"/>
        <v/>
      </c>
      <c r="G268" s="4" t="str">
        <f>IFERROR(VLOOKUP(A268,Mehsullar!A:F,6,FALSE),"")</f>
        <v/>
      </c>
      <c r="H268" s="4" t="str">
        <f t="shared" si="2"/>
        <v/>
      </c>
    </row>
    <row r="269" ht="15.75" customHeight="1">
      <c r="A269" s="4"/>
      <c r="B269" s="4"/>
      <c r="C269" s="4"/>
      <c r="D269" s="4" t="str">
        <f>IF(A269="","",SUMIF(Anbar_Idxal!G:G,A269,Anbar_Idxal!H:H))</f>
        <v/>
      </c>
      <c r="E269" s="4" t="str">
        <f>IF(A269="","",SUMIF(Satislar!E:E,A269,Satislar!G:G))</f>
        <v/>
      </c>
      <c r="F269" s="4" t="str">
        <f t="shared" si="1"/>
        <v/>
      </c>
      <c r="G269" s="4" t="str">
        <f>IFERROR(VLOOKUP(A269,Mehsullar!A:F,6,FALSE),"")</f>
        <v/>
      </c>
      <c r="H269" s="4" t="str">
        <f t="shared" si="2"/>
        <v/>
      </c>
    </row>
    <row r="270" ht="15.75" customHeight="1">
      <c r="A270" s="4"/>
      <c r="B270" s="4"/>
      <c r="C270" s="4"/>
      <c r="D270" s="4" t="str">
        <f>IF(A270="","",SUMIF(Anbar_Idxal!G:G,A270,Anbar_Idxal!H:H))</f>
        <v/>
      </c>
      <c r="E270" s="4" t="str">
        <f>IF(A270="","",SUMIF(Satislar!E:E,A270,Satislar!G:G))</f>
        <v/>
      </c>
      <c r="F270" s="4" t="str">
        <f t="shared" si="1"/>
        <v/>
      </c>
      <c r="G270" s="4" t="str">
        <f>IFERROR(VLOOKUP(A270,Mehsullar!A:F,6,FALSE),"")</f>
        <v/>
      </c>
      <c r="H270" s="4" t="str">
        <f t="shared" si="2"/>
        <v/>
      </c>
    </row>
    <row r="271" ht="15.75" customHeight="1">
      <c r="A271" s="4"/>
      <c r="B271" s="4"/>
      <c r="C271" s="4"/>
      <c r="D271" s="4" t="str">
        <f>IF(A271="","",SUMIF(Anbar_Idxal!G:G,A271,Anbar_Idxal!H:H))</f>
        <v/>
      </c>
      <c r="E271" s="4" t="str">
        <f>IF(A271="","",SUMIF(Satislar!E:E,A271,Satislar!G:G))</f>
        <v/>
      </c>
      <c r="F271" s="4" t="str">
        <f t="shared" si="1"/>
        <v/>
      </c>
      <c r="G271" s="4" t="str">
        <f>IFERROR(VLOOKUP(A271,Mehsullar!A:F,6,FALSE),"")</f>
        <v/>
      </c>
      <c r="H271" s="4" t="str">
        <f t="shared" si="2"/>
        <v/>
      </c>
    </row>
    <row r="272" ht="15.75" customHeight="1">
      <c r="A272" s="4"/>
      <c r="B272" s="4"/>
      <c r="C272" s="4"/>
      <c r="D272" s="4" t="str">
        <f>IF(A272="","",SUMIF(Anbar_Idxal!G:G,A272,Anbar_Idxal!H:H))</f>
        <v/>
      </c>
      <c r="E272" s="4" t="str">
        <f>IF(A272="","",SUMIF(Satislar!E:E,A272,Satislar!G:G))</f>
        <v/>
      </c>
      <c r="F272" s="4" t="str">
        <f t="shared" si="1"/>
        <v/>
      </c>
      <c r="G272" s="4" t="str">
        <f>IFERROR(VLOOKUP(A272,Mehsullar!A:F,6,FALSE),"")</f>
        <v/>
      </c>
      <c r="H272" s="4" t="str">
        <f t="shared" si="2"/>
        <v/>
      </c>
    </row>
    <row r="273" ht="15.75" customHeight="1">
      <c r="A273" s="4"/>
      <c r="B273" s="4"/>
      <c r="C273" s="4"/>
      <c r="D273" s="4" t="str">
        <f>IF(A273="","",SUMIF(Anbar_Idxal!G:G,A273,Anbar_Idxal!H:H))</f>
        <v/>
      </c>
      <c r="E273" s="4" t="str">
        <f>IF(A273="","",SUMIF(Satislar!E:E,A273,Satislar!G:G))</f>
        <v/>
      </c>
      <c r="F273" s="4" t="str">
        <f t="shared" si="1"/>
        <v/>
      </c>
      <c r="G273" s="4" t="str">
        <f>IFERROR(VLOOKUP(A273,Mehsullar!A:F,6,FALSE),"")</f>
        <v/>
      </c>
      <c r="H273" s="4" t="str">
        <f t="shared" si="2"/>
        <v/>
      </c>
    </row>
    <row r="274" ht="15.75" customHeight="1">
      <c r="A274" s="4"/>
      <c r="B274" s="4"/>
      <c r="C274" s="4"/>
      <c r="D274" s="4" t="str">
        <f>IF(A274="","",SUMIF(Anbar_Idxal!G:G,A274,Anbar_Idxal!H:H))</f>
        <v/>
      </c>
      <c r="E274" s="4" t="str">
        <f>IF(A274="","",SUMIF(Satislar!E:E,A274,Satislar!G:G))</f>
        <v/>
      </c>
      <c r="F274" s="4" t="str">
        <f t="shared" si="1"/>
        <v/>
      </c>
      <c r="G274" s="4" t="str">
        <f>IFERROR(VLOOKUP(A274,Mehsullar!A:F,6,FALSE),"")</f>
        <v/>
      </c>
      <c r="H274" s="4" t="str">
        <f t="shared" si="2"/>
        <v/>
      </c>
    </row>
    <row r="275" ht="15.75" customHeight="1">
      <c r="A275" s="4"/>
      <c r="B275" s="4"/>
      <c r="C275" s="4"/>
      <c r="D275" s="4" t="str">
        <f>IF(A275="","",SUMIF(Anbar_Idxal!G:G,A275,Anbar_Idxal!H:H))</f>
        <v/>
      </c>
      <c r="E275" s="4" t="str">
        <f>IF(A275="","",SUMIF(Satislar!E:E,A275,Satislar!G:G))</f>
        <v/>
      </c>
      <c r="F275" s="4" t="str">
        <f t="shared" si="1"/>
        <v/>
      </c>
      <c r="G275" s="4" t="str">
        <f>IFERROR(VLOOKUP(A275,Mehsullar!A:F,6,FALSE),"")</f>
        <v/>
      </c>
      <c r="H275" s="4" t="str">
        <f t="shared" si="2"/>
        <v/>
      </c>
    </row>
    <row r="276" ht="15.75" customHeight="1">
      <c r="A276" s="4"/>
      <c r="B276" s="4"/>
      <c r="C276" s="4"/>
      <c r="D276" s="4" t="str">
        <f>IF(A276="","",SUMIF(Anbar_Idxal!G:G,A276,Anbar_Idxal!H:H))</f>
        <v/>
      </c>
      <c r="E276" s="4" t="str">
        <f>IF(A276="","",SUMIF(Satislar!E:E,A276,Satislar!G:G))</f>
        <v/>
      </c>
      <c r="F276" s="4" t="str">
        <f t="shared" si="1"/>
        <v/>
      </c>
      <c r="G276" s="4" t="str">
        <f>IFERROR(VLOOKUP(A276,Mehsullar!A:F,6,FALSE),"")</f>
        <v/>
      </c>
      <c r="H276" s="4" t="str">
        <f t="shared" si="2"/>
        <v/>
      </c>
    </row>
    <row r="277" ht="15.75" customHeight="1">
      <c r="A277" s="4"/>
      <c r="B277" s="4"/>
      <c r="C277" s="4"/>
      <c r="D277" s="4" t="str">
        <f>IF(A277="","",SUMIF(Anbar_Idxal!G:G,A277,Anbar_Idxal!H:H))</f>
        <v/>
      </c>
      <c r="E277" s="4" t="str">
        <f>IF(A277="","",SUMIF(Satislar!E:E,A277,Satislar!G:G))</f>
        <v/>
      </c>
      <c r="F277" s="4" t="str">
        <f t="shared" si="1"/>
        <v/>
      </c>
      <c r="G277" s="4" t="str">
        <f>IFERROR(VLOOKUP(A277,Mehsullar!A:F,6,FALSE),"")</f>
        <v/>
      </c>
      <c r="H277" s="4" t="str">
        <f t="shared" si="2"/>
        <v/>
      </c>
    </row>
    <row r="278" ht="15.75" customHeight="1">
      <c r="A278" s="4"/>
      <c r="B278" s="4"/>
      <c r="C278" s="4"/>
      <c r="D278" s="4" t="str">
        <f>IF(A278="","",SUMIF(Anbar_Idxal!G:G,A278,Anbar_Idxal!H:H))</f>
        <v/>
      </c>
      <c r="E278" s="4" t="str">
        <f>IF(A278="","",SUMIF(Satislar!E:E,A278,Satislar!G:G))</f>
        <v/>
      </c>
      <c r="F278" s="4" t="str">
        <f t="shared" si="1"/>
        <v/>
      </c>
      <c r="G278" s="4" t="str">
        <f>IFERROR(VLOOKUP(A278,Mehsullar!A:F,6,FALSE),"")</f>
        <v/>
      </c>
      <c r="H278" s="4" t="str">
        <f t="shared" si="2"/>
        <v/>
      </c>
    </row>
    <row r="279" ht="15.75" customHeight="1">
      <c r="A279" s="4"/>
      <c r="B279" s="4"/>
      <c r="C279" s="4"/>
      <c r="D279" s="4" t="str">
        <f>IF(A279="","",SUMIF(Anbar_Idxal!G:G,A279,Anbar_Idxal!H:H))</f>
        <v/>
      </c>
      <c r="E279" s="4" t="str">
        <f>IF(A279="","",SUMIF(Satislar!E:E,A279,Satislar!G:G))</f>
        <v/>
      </c>
      <c r="F279" s="4" t="str">
        <f t="shared" si="1"/>
        <v/>
      </c>
      <c r="G279" s="4" t="str">
        <f>IFERROR(VLOOKUP(A279,Mehsullar!A:F,6,FALSE),"")</f>
        <v/>
      </c>
      <c r="H279" s="4" t="str">
        <f t="shared" si="2"/>
        <v/>
      </c>
    </row>
    <row r="280" ht="15.75" customHeight="1">
      <c r="A280" s="4"/>
      <c r="B280" s="4"/>
      <c r="C280" s="4"/>
      <c r="D280" s="4" t="str">
        <f>IF(A280="","",SUMIF(Anbar_Idxal!G:G,A280,Anbar_Idxal!H:H))</f>
        <v/>
      </c>
      <c r="E280" s="4" t="str">
        <f>IF(A280="","",SUMIF(Satislar!E:E,A280,Satislar!G:G))</f>
        <v/>
      </c>
      <c r="F280" s="4" t="str">
        <f t="shared" si="1"/>
        <v/>
      </c>
      <c r="G280" s="4" t="str">
        <f>IFERROR(VLOOKUP(A280,Mehsullar!A:F,6,FALSE),"")</f>
        <v/>
      </c>
      <c r="H280" s="4" t="str">
        <f t="shared" si="2"/>
        <v/>
      </c>
    </row>
    <row r="281" ht="15.75" customHeight="1">
      <c r="A281" s="4"/>
      <c r="B281" s="4"/>
      <c r="C281" s="4"/>
      <c r="D281" s="4" t="str">
        <f>IF(A281="","",SUMIF(Anbar_Idxal!G:G,A281,Anbar_Idxal!H:H))</f>
        <v/>
      </c>
      <c r="E281" s="4" t="str">
        <f>IF(A281="","",SUMIF(Satislar!E:E,A281,Satislar!G:G))</f>
        <v/>
      </c>
      <c r="F281" s="4" t="str">
        <f t="shared" si="1"/>
        <v/>
      </c>
      <c r="G281" s="4" t="str">
        <f>IFERROR(VLOOKUP(A281,Mehsullar!A:F,6,FALSE),"")</f>
        <v/>
      </c>
      <c r="H281" s="4" t="str">
        <f t="shared" si="2"/>
        <v/>
      </c>
    </row>
    <row r="282" ht="15.75" customHeight="1">
      <c r="A282" s="4"/>
      <c r="B282" s="4"/>
      <c r="C282" s="4"/>
      <c r="D282" s="4" t="str">
        <f>IF(A282="","",SUMIF(Anbar_Idxal!G:G,A282,Anbar_Idxal!H:H))</f>
        <v/>
      </c>
      <c r="E282" s="4" t="str">
        <f>IF(A282="","",SUMIF(Satislar!E:E,A282,Satislar!G:G))</f>
        <v/>
      </c>
      <c r="F282" s="4" t="str">
        <f t="shared" si="1"/>
        <v/>
      </c>
      <c r="G282" s="4" t="str">
        <f>IFERROR(VLOOKUP(A282,Mehsullar!A:F,6,FALSE),"")</f>
        <v/>
      </c>
      <c r="H282" s="4" t="str">
        <f t="shared" si="2"/>
        <v/>
      </c>
    </row>
    <row r="283" ht="15.75" customHeight="1">
      <c r="A283" s="4"/>
      <c r="B283" s="4"/>
      <c r="C283" s="4"/>
      <c r="D283" s="4" t="str">
        <f>IF(A283="","",SUMIF(Anbar_Idxal!G:G,A283,Anbar_Idxal!H:H))</f>
        <v/>
      </c>
      <c r="E283" s="4" t="str">
        <f>IF(A283="","",SUMIF(Satislar!E:E,A283,Satislar!G:G))</f>
        <v/>
      </c>
      <c r="F283" s="4" t="str">
        <f t="shared" si="1"/>
        <v/>
      </c>
      <c r="G283" s="4" t="str">
        <f>IFERROR(VLOOKUP(A283,Mehsullar!A:F,6,FALSE),"")</f>
        <v/>
      </c>
      <c r="H283" s="4" t="str">
        <f t="shared" si="2"/>
        <v/>
      </c>
    </row>
    <row r="284" ht="15.75" customHeight="1">
      <c r="A284" s="4"/>
      <c r="B284" s="4"/>
      <c r="C284" s="4"/>
      <c r="D284" s="4" t="str">
        <f>IF(A284="","",SUMIF(Anbar_Idxal!G:G,A284,Anbar_Idxal!H:H))</f>
        <v/>
      </c>
      <c r="E284" s="4" t="str">
        <f>IF(A284="","",SUMIF(Satislar!E:E,A284,Satislar!G:G))</f>
        <v/>
      </c>
      <c r="F284" s="4" t="str">
        <f t="shared" si="1"/>
        <v/>
      </c>
      <c r="G284" s="4" t="str">
        <f>IFERROR(VLOOKUP(A284,Mehsullar!A:F,6,FALSE),"")</f>
        <v/>
      </c>
      <c r="H284" s="4" t="str">
        <f t="shared" si="2"/>
        <v/>
      </c>
    </row>
    <row r="285" ht="15.75" customHeight="1">
      <c r="A285" s="4"/>
      <c r="B285" s="4"/>
      <c r="C285" s="4"/>
      <c r="D285" s="4" t="str">
        <f>IF(A285="","",SUMIF(Anbar_Idxal!G:G,A285,Anbar_Idxal!H:H))</f>
        <v/>
      </c>
      <c r="E285" s="4" t="str">
        <f>IF(A285="","",SUMIF(Satislar!E:E,A285,Satislar!G:G))</f>
        <v/>
      </c>
      <c r="F285" s="4" t="str">
        <f t="shared" si="1"/>
        <v/>
      </c>
      <c r="G285" s="4" t="str">
        <f>IFERROR(VLOOKUP(A285,Mehsullar!A:F,6,FALSE),"")</f>
        <v/>
      </c>
      <c r="H285" s="4" t="str">
        <f t="shared" si="2"/>
        <v/>
      </c>
    </row>
    <row r="286" ht="15.75" customHeight="1">
      <c r="A286" s="4"/>
      <c r="B286" s="4"/>
      <c r="C286" s="4"/>
      <c r="D286" s="4" t="str">
        <f>IF(A286="","",SUMIF(Anbar_Idxal!G:G,A286,Anbar_Idxal!H:H))</f>
        <v/>
      </c>
      <c r="E286" s="4" t="str">
        <f>IF(A286="","",SUMIF(Satislar!E:E,A286,Satislar!G:G))</f>
        <v/>
      </c>
      <c r="F286" s="4" t="str">
        <f t="shared" si="1"/>
        <v/>
      </c>
      <c r="G286" s="4" t="str">
        <f>IFERROR(VLOOKUP(A286,Mehsullar!A:F,6,FALSE),"")</f>
        <v/>
      </c>
      <c r="H286" s="4" t="str">
        <f t="shared" si="2"/>
        <v/>
      </c>
    </row>
    <row r="287" ht="15.75" customHeight="1">
      <c r="A287" s="4"/>
      <c r="B287" s="4"/>
      <c r="C287" s="4"/>
      <c r="D287" s="4" t="str">
        <f>IF(A287="","",SUMIF(Anbar_Idxal!G:G,A287,Anbar_Idxal!H:H))</f>
        <v/>
      </c>
      <c r="E287" s="4" t="str">
        <f>IF(A287="","",SUMIF(Satislar!E:E,A287,Satislar!G:G))</f>
        <v/>
      </c>
      <c r="F287" s="4" t="str">
        <f t="shared" si="1"/>
        <v/>
      </c>
      <c r="G287" s="4" t="str">
        <f>IFERROR(VLOOKUP(A287,Mehsullar!A:F,6,FALSE),"")</f>
        <v/>
      </c>
      <c r="H287" s="4" t="str">
        <f t="shared" si="2"/>
        <v/>
      </c>
    </row>
    <row r="288" ht="15.75" customHeight="1">
      <c r="A288" s="4"/>
      <c r="B288" s="4"/>
      <c r="C288" s="4"/>
      <c r="D288" s="4" t="str">
        <f>IF(A288="","",SUMIF(Anbar_Idxal!G:G,A288,Anbar_Idxal!H:H))</f>
        <v/>
      </c>
      <c r="E288" s="4" t="str">
        <f>IF(A288="","",SUMIF(Satislar!E:E,A288,Satislar!G:G))</f>
        <v/>
      </c>
      <c r="F288" s="4" t="str">
        <f t="shared" si="1"/>
        <v/>
      </c>
      <c r="G288" s="4" t="str">
        <f>IFERROR(VLOOKUP(A288,Mehsullar!A:F,6,FALSE),"")</f>
        <v/>
      </c>
      <c r="H288" s="4" t="str">
        <f t="shared" si="2"/>
        <v/>
      </c>
    </row>
    <row r="289" ht="15.75" customHeight="1">
      <c r="A289" s="4"/>
      <c r="B289" s="4"/>
      <c r="C289" s="4"/>
      <c r="D289" s="4" t="str">
        <f>IF(A289="","",SUMIF(Anbar_Idxal!G:G,A289,Anbar_Idxal!H:H))</f>
        <v/>
      </c>
      <c r="E289" s="4" t="str">
        <f>IF(A289="","",SUMIF(Satislar!E:E,A289,Satislar!G:G))</f>
        <v/>
      </c>
      <c r="F289" s="4" t="str">
        <f t="shared" si="1"/>
        <v/>
      </c>
      <c r="G289" s="4" t="str">
        <f>IFERROR(VLOOKUP(A289,Mehsullar!A:F,6,FALSE),"")</f>
        <v/>
      </c>
      <c r="H289" s="4" t="str">
        <f t="shared" si="2"/>
        <v/>
      </c>
    </row>
    <row r="290" ht="15.75" customHeight="1">
      <c r="A290" s="4"/>
      <c r="B290" s="4"/>
      <c r="C290" s="4"/>
      <c r="D290" s="4" t="str">
        <f>IF(A290="","",SUMIF(Anbar_Idxal!G:G,A290,Anbar_Idxal!H:H))</f>
        <v/>
      </c>
      <c r="E290" s="4" t="str">
        <f>IF(A290="","",SUMIF(Satislar!E:E,A290,Satislar!G:G))</f>
        <v/>
      </c>
      <c r="F290" s="4" t="str">
        <f t="shared" si="1"/>
        <v/>
      </c>
      <c r="G290" s="4" t="str">
        <f>IFERROR(VLOOKUP(A290,Mehsullar!A:F,6,FALSE),"")</f>
        <v/>
      </c>
      <c r="H290" s="4" t="str">
        <f t="shared" si="2"/>
        <v/>
      </c>
    </row>
    <row r="291" ht="15.75" customHeight="1">
      <c r="A291" s="4"/>
      <c r="B291" s="4"/>
      <c r="C291" s="4"/>
      <c r="D291" s="4" t="str">
        <f>IF(A291="","",SUMIF(Anbar_Idxal!G:G,A291,Anbar_Idxal!H:H))</f>
        <v/>
      </c>
      <c r="E291" s="4" t="str">
        <f>IF(A291="","",SUMIF(Satislar!E:E,A291,Satislar!G:G))</f>
        <v/>
      </c>
      <c r="F291" s="4" t="str">
        <f t="shared" si="1"/>
        <v/>
      </c>
      <c r="G291" s="4" t="str">
        <f>IFERROR(VLOOKUP(A291,Mehsullar!A:F,6,FALSE),"")</f>
        <v/>
      </c>
      <c r="H291" s="4" t="str">
        <f t="shared" si="2"/>
        <v/>
      </c>
    </row>
    <row r="292" ht="15.75" customHeight="1">
      <c r="A292" s="4"/>
      <c r="B292" s="4"/>
      <c r="C292" s="4"/>
      <c r="D292" s="4" t="str">
        <f>IF(A292="","",SUMIF(Anbar_Idxal!G:G,A292,Anbar_Idxal!H:H))</f>
        <v/>
      </c>
      <c r="E292" s="4" t="str">
        <f>IF(A292="","",SUMIF(Satislar!E:E,A292,Satislar!G:G))</f>
        <v/>
      </c>
      <c r="F292" s="4" t="str">
        <f t="shared" si="1"/>
        <v/>
      </c>
      <c r="G292" s="4" t="str">
        <f>IFERROR(VLOOKUP(A292,Mehsullar!A:F,6,FALSE),"")</f>
        <v/>
      </c>
      <c r="H292" s="4" t="str">
        <f t="shared" si="2"/>
        <v/>
      </c>
    </row>
    <row r="293" ht="15.75" customHeight="1">
      <c r="A293" s="4"/>
      <c r="B293" s="4"/>
      <c r="C293" s="4"/>
      <c r="D293" s="4" t="str">
        <f>IF(A293="","",SUMIF(Anbar_Idxal!G:G,A293,Anbar_Idxal!H:H))</f>
        <v/>
      </c>
      <c r="E293" s="4" t="str">
        <f>IF(A293="","",SUMIF(Satislar!E:E,A293,Satislar!G:G))</f>
        <v/>
      </c>
      <c r="F293" s="4" t="str">
        <f t="shared" si="1"/>
        <v/>
      </c>
      <c r="G293" s="4" t="str">
        <f>IFERROR(VLOOKUP(A293,Mehsullar!A:F,6,FALSE),"")</f>
        <v/>
      </c>
      <c r="H293" s="4" t="str">
        <f t="shared" si="2"/>
        <v/>
      </c>
    </row>
    <row r="294" ht="15.75" customHeight="1">
      <c r="A294" s="4"/>
      <c r="B294" s="4"/>
      <c r="C294" s="4"/>
      <c r="D294" s="4" t="str">
        <f>IF(A294="","",SUMIF(Anbar_Idxal!G:G,A294,Anbar_Idxal!H:H))</f>
        <v/>
      </c>
      <c r="E294" s="4" t="str">
        <f>IF(A294="","",SUMIF(Satislar!E:E,A294,Satislar!G:G))</f>
        <v/>
      </c>
      <c r="F294" s="4" t="str">
        <f t="shared" si="1"/>
        <v/>
      </c>
      <c r="G294" s="4" t="str">
        <f>IFERROR(VLOOKUP(A294,Mehsullar!A:F,6,FALSE),"")</f>
        <v/>
      </c>
      <c r="H294" s="4" t="str">
        <f t="shared" si="2"/>
        <v/>
      </c>
    </row>
    <row r="295" ht="15.75" customHeight="1">
      <c r="A295" s="4"/>
      <c r="B295" s="4"/>
      <c r="C295" s="4"/>
      <c r="D295" s="4" t="str">
        <f>IF(A295="","",SUMIF(Anbar_Idxal!G:G,A295,Anbar_Idxal!H:H))</f>
        <v/>
      </c>
      <c r="E295" s="4" t="str">
        <f>IF(A295="","",SUMIF(Satislar!E:E,A295,Satislar!G:G))</f>
        <v/>
      </c>
      <c r="F295" s="4" t="str">
        <f t="shared" si="1"/>
        <v/>
      </c>
      <c r="G295" s="4" t="str">
        <f>IFERROR(VLOOKUP(A295,Mehsullar!A:F,6,FALSE),"")</f>
        <v/>
      </c>
      <c r="H295" s="4" t="str">
        <f t="shared" si="2"/>
        <v/>
      </c>
    </row>
    <row r="296" ht="15.75" customHeight="1">
      <c r="A296" s="4"/>
      <c r="B296" s="4"/>
      <c r="C296" s="4"/>
      <c r="D296" s="4" t="str">
        <f>IF(A296="","",SUMIF(Anbar_Idxal!G:G,A296,Anbar_Idxal!H:H))</f>
        <v/>
      </c>
      <c r="E296" s="4" t="str">
        <f>IF(A296="","",SUMIF(Satislar!E:E,A296,Satislar!G:G))</f>
        <v/>
      </c>
      <c r="F296" s="4" t="str">
        <f t="shared" si="1"/>
        <v/>
      </c>
      <c r="G296" s="4" t="str">
        <f>IFERROR(VLOOKUP(A296,Mehsullar!A:F,6,FALSE),"")</f>
        <v/>
      </c>
      <c r="H296" s="4" t="str">
        <f t="shared" si="2"/>
        <v/>
      </c>
    </row>
    <row r="297" ht="15.75" customHeight="1">
      <c r="A297" s="4"/>
      <c r="B297" s="4"/>
      <c r="C297" s="4"/>
      <c r="D297" s="4" t="str">
        <f>IF(A297="","",SUMIF(Anbar_Idxal!G:G,A297,Anbar_Idxal!H:H))</f>
        <v/>
      </c>
      <c r="E297" s="4" t="str">
        <f>IF(A297="","",SUMIF(Satislar!E:E,A297,Satislar!G:G))</f>
        <v/>
      </c>
      <c r="F297" s="4" t="str">
        <f t="shared" si="1"/>
        <v/>
      </c>
      <c r="G297" s="4" t="str">
        <f>IFERROR(VLOOKUP(A297,Mehsullar!A:F,6,FALSE),"")</f>
        <v/>
      </c>
      <c r="H297" s="4" t="str">
        <f t="shared" si="2"/>
        <v/>
      </c>
    </row>
    <row r="298" ht="15.75" customHeight="1">
      <c r="A298" s="4"/>
      <c r="B298" s="4"/>
      <c r="C298" s="4"/>
      <c r="D298" s="4" t="str">
        <f>IF(A298="","",SUMIF(Anbar_Idxal!G:G,A298,Anbar_Idxal!H:H))</f>
        <v/>
      </c>
      <c r="E298" s="4" t="str">
        <f>IF(A298="","",SUMIF(Satislar!E:E,A298,Satislar!G:G))</f>
        <v/>
      </c>
      <c r="F298" s="4" t="str">
        <f t="shared" si="1"/>
        <v/>
      </c>
      <c r="G298" s="4" t="str">
        <f>IFERROR(VLOOKUP(A298,Mehsullar!A:F,6,FALSE),"")</f>
        <v/>
      </c>
      <c r="H298" s="4" t="str">
        <f t="shared" si="2"/>
        <v/>
      </c>
    </row>
    <row r="299" ht="15.75" customHeight="1">
      <c r="A299" s="4"/>
      <c r="B299" s="4"/>
      <c r="C299" s="4"/>
      <c r="D299" s="4" t="str">
        <f>IF(A299="","",SUMIF(Anbar_Idxal!G:G,A299,Anbar_Idxal!H:H))</f>
        <v/>
      </c>
      <c r="E299" s="4" t="str">
        <f>IF(A299="","",SUMIF(Satislar!E:E,A299,Satislar!G:G))</f>
        <v/>
      </c>
      <c r="F299" s="4" t="str">
        <f t="shared" si="1"/>
        <v/>
      </c>
      <c r="G299" s="4" t="str">
        <f>IFERROR(VLOOKUP(A299,Mehsullar!A:F,6,FALSE),"")</f>
        <v/>
      </c>
      <c r="H299" s="4" t="str">
        <f t="shared" si="2"/>
        <v/>
      </c>
    </row>
    <row r="300" ht="15.75" customHeight="1">
      <c r="A300" s="4"/>
      <c r="B300" s="4"/>
      <c r="C300" s="4"/>
      <c r="D300" s="4" t="str">
        <f>IF(A300="","",SUMIF(Anbar_Idxal!G:G,A300,Anbar_Idxal!H:H))</f>
        <v/>
      </c>
      <c r="E300" s="4" t="str">
        <f>IF(A300="","",SUMIF(Satislar!E:E,A300,Satislar!G:G))</f>
        <v/>
      </c>
      <c r="F300" s="4" t="str">
        <f t="shared" si="1"/>
        <v/>
      </c>
      <c r="G300" s="4" t="str">
        <f>IFERROR(VLOOKUP(A300,Mehsullar!A:F,6,FALSE),"")</f>
        <v/>
      </c>
      <c r="H300" s="4" t="str">
        <f t="shared" si="2"/>
        <v/>
      </c>
    </row>
    <row r="301" ht="15.75" customHeight="1">
      <c r="A301" s="4"/>
      <c r="B301" s="4"/>
      <c r="C301" s="4"/>
      <c r="D301" s="4" t="str">
        <f>IF(A301="","",SUMIF(Anbar_Idxal!G:G,A301,Anbar_Idxal!H:H))</f>
        <v/>
      </c>
      <c r="E301" s="4" t="str">
        <f>IF(A301="","",SUMIF(Satislar!E:E,A301,Satislar!G:G))</f>
        <v/>
      </c>
      <c r="F301" s="4" t="str">
        <f t="shared" si="1"/>
        <v/>
      </c>
      <c r="G301" s="4" t="str">
        <f>IFERROR(VLOOKUP(A301,Mehsullar!A:F,6,FALSE),"")</f>
        <v/>
      </c>
      <c r="H301" s="4" t="str">
        <f t="shared" si="2"/>
        <v/>
      </c>
    </row>
    <row r="302" ht="15.75" customHeight="1">
      <c r="A302" s="4"/>
      <c r="B302" s="4"/>
      <c r="C302" s="4"/>
      <c r="D302" s="4" t="str">
        <f>IF(A302="","",SUMIF(Anbar_Idxal!G:G,A302,Anbar_Idxal!H:H))</f>
        <v/>
      </c>
      <c r="E302" s="4" t="str">
        <f>IF(A302="","",SUMIF(Satislar!E:E,A302,Satislar!G:G))</f>
        <v/>
      </c>
      <c r="F302" s="4" t="str">
        <f t="shared" si="1"/>
        <v/>
      </c>
      <c r="G302" s="4" t="str">
        <f>IFERROR(VLOOKUP(A302,Mehsullar!A:F,6,FALSE),"")</f>
        <v/>
      </c>
      <c r="H302" s="4" t="str">
        <f t="shared" si="2"/>
        <v/>
      </c>
    </row>
    <row r="303" ht="15.75" customHeight="1">
      <c r="A303" s="4"/>
      <c r="B303" s="4"/>
      <c r="C303" s="4"/>
      <c r="D303" s="4" t="str">
        <f>IF(A303="","",SUMIF(Anbar_Idxal!G:G,A303,Anbar_Idxal!H:H))</f>
        <v/>
      </c>
      <c r="E303" s="4" t="str">
        <f>IF(A303="","",SUMIF(Satislar!E:E,A303,Satislar!G:G))</f>
        <v/>
      </c>
      <c r="F303" s="4" t="str">
        <f t="shared" si="1"/>
        <v/>
      </c>
      <c r="G303" s="4" t="str">
        <f>IFERROR(VLOOKUP(A303,Mehsullar!A:F,6,FALSE),"")</f>
        <v/>
      </c>
      <c r="H303" s="4" t="str">
        <f t="shared" si="2"/>
        <v/>
      </c>
    </row>
    <row r="304" ht="15.75" customHeight="1">
      <c r="A304" s="4"/>
      <c r="B304" s="4"/>
      <c r="C304" s="4"/>
      <c r="D304" s="4" t="str">
        <f>IF(A304="","",SUMIF(Anbar_Idxal!G:G,A304,Anbar_Idxal!H:H))</f>
        <v/>
      </c>
      <c r="E304" s="4" t="str">
        <f>IF(A304="","",SUMIF(Satislar!E:E,A304,Satislar!G:G))</f>
        <v/>
      </c>
      <c r="F304" s="4" t="str">
        <f t="shared" si="1"/>
        <v/>
      </c>
      <c r="G304" s="4" t="str">
        <f>IFERROR(VLOOKUP(A304,Mehsullar!A:F,6,FALSE),"")</f>
        <v/>
      </c>
      <c r="H304" s="4" t="str">
        <f t="shared" si="2"/>
        <v/>
      </c>
    </row>
    <row r="305" ht="15.75" customHeight="1">
      <c r="A305" s="4"/>
      <c r="B305" s="4"/>
      <c r="C305" s="4"/>
      <c r="D305" s="4" t="str">
        <f>IF(A305="","",SUMIF(Anbar_Idxal!G:G,A305,Anbar_Idxal!H:H))</f>
        <v/>
      </c>
      <c r="E305" s="4" t="str">
        <f>IF(A305="","",SUMIF(Satislar!E:E,A305,Satislar!G:G))</f>
        <v/>
      </c>
      <c r="F305" s="4" t="str">
        <f t="shared" si="1"/>
        <v/>
      </c>
      <c r="G305" s="4" t="str">
        <f>IFERROR(VLOOKUP(A305,Mehsullar!A:F,6,FALSE),"")</f>
        <v/>
      </c>
      <c r="H305" s="4" t="str">
        <f t="shared" si="2"/>
        <v/>
      </c>
    </row>
    <row r="306" ht="15.75" customHeight="1">
      <c r="A306" s="4"/>
      <c r="B306" s="4"/>
      <c r="C306" s="4"/>
      <c r="D306" s="4" t="str">
        <f>IF(A306="","",SUMIF(Anbar_Idxal!G:G,A306,Anbar_Idxal!H:H))</f>
        <v/>
      </c>
      <c r="E306" s="4" t="str">
        <f>IF(A306="","",SUMIF(Satislar!E:E,A306,Satislar!G:G))</f>
        <v/>
      </c>
      <c r="F306" s="4" t="str">
        <f t="shared" si="1"/>
        <v/>
      </c>
      <c r="G306" s="4" t="str">
        <f>IFERROR(VLOOKUP(A306,Mehsullar!A:F,6,FALSE),"")</f>
        <v/>
      </c>
      <c r="H306" s="4" t="str">
        <f t="shared" si="2"/>
        <v/>
      </c>
    </row>
    <row r="307" ht="15.75" customHeight="1">
      <c r="A307" s="4"/>
      <c r="B307" s="4"/>
      <c r="C307" s="4"/>
      <c r="D307" s="4" t="str">
        <f>IF(A307="","",SUMIF(Anbar_Idxal!G:G,A307,Anbar_Idxal!H:H))</f>
        <v/>
      </c>
      <c r="E307" s="4" t="str">
        <f>IF(A307="","",SUMIF(Satislar!E:E,A307,Satislar!G:G))</f>
        <v/>
      </c>
      <c r="F307" s="4" t="str">
        <f t="shared" si="1"/>
        <v/>
      </c>
      <c r="G307" s="4" t="str">
        <f>IFERROR(VLOOKUP(A307,Mehsullar!A:F,6,FALSE),"")</f>
        <v/>
      </c>
      <c r="H307" s="4" t="str">
        <f t="shared" si="2"/>
        <v/>
      </c>
    </row>
    <row r="308" ht="15.75" customHeight="1">
      <c r="A308" s="4"/>
      <c r="B308" s="4"/>
      <c r="C308" s="4"/>
      <c r="D308" s="4" t="str">
        <f>IF(A308="","",SUMIF(Anbar_Idxal!G:G,A308,Anbar_Idxal!H:H))</f>
        <v/>
      </c>
      <c r="E308" s="4" t="str">
        <f>IF(A308="","",SUMIF(Satislar!E:E,A308,Satislar!G:G))</f>
        <v/>
      </c>
      <c r="F308" s="4" t="str">
        <f t="shared" si="1"/>
        <v/>
      </c>
      <c r="G308" s="4" t="str">
        <f>IFERROR(VLOOKUP(A308,Mehsullar!A:F,6,FALSE),"")</f>
        <v/>
      </c>
      <c r="H308" s="4" t="str">
        <f t="shared" si="2"/>
        <v/>
      </c>
    </row>
    <row r="309" ht="15.75" customHeight="1">
      <c r="A309" s="4"/>
      <c r="B309" s="4"/>
      <c r="C309" s="4"/>
      <c r="D309" s="4" t="str">
        <f>IF(A309="","",SUMIF(Anbar_Idxal!G:G,A309,Anbar_Idxal!H:H))</f>
        <v/>
      </c>
      <c r="E309" s="4" t="str">
        <f>IF(A309="","",SUMIF(Satislar!E:E,A309,Satislar!G:G))</f>
        <v/>
      </c>
      <c r="F309" s="4" t="str">
        <f t="shared" si="1"/>
        <v/>
      </c>
      <c r="G309" s="4" t="str">
        <f>IFERROR(VLOOKUP(A309,Mehsullar!A:F,6,FALSE),"")</f>
        <v/>
      </c>
      <c r="H309" s="4" t="str">
        <f t="shared" si="2"/>
        <v/>
      </c>
    </row>
    <row r="310" ht="15.75" customHeight="1">
      <c r="A310" s="4"/>
      <c r="B310" s="4"/>
      <c r="C310" s="4"/>
      <c r="D310" s="4" t="str">
        <f>IF(A310="","",SUMIF(Anbar_Idxal!G:G,A310,Anbar_Idxal!H:H))</f>
        <v/>
      </c>
      <c r="E310" s="4" t="str">
        <f>IF(A310="","",SUMIF(Satislar!E:E,A310,Satislar!G:G))</f>
        <v/>
      </c>
      <c r="F310" s="4" t="str">
        <f t="shared" si="1"/>
        <v/>
      </c>
      <c r="G310" s="4" t="str">
        <f>IFERROR(VLOOKUP(A310,Mehsullar!A:F,6,FALSE),"")</f>
        <v/>
      </c>
      <c r="H310" s="4" t="str">
        <f t="shared" si="2"/>
        <v/>
      </c>
    </row>
    <row r="311" ht="15.75" customHeight="1">
      <c r="A311" s="4"/>
      <c r="B311" s="4"/>
      <c r="C311" s="4"/>
      <c r="D311" s="4" t="str">
        <f>IF(A311="","",SUMIF(Anbar_Idxal!G:G,A311,Anbar_Idxal!H:H))</f>
        <v/>
      </c>
      <c r="E311" s="4" t="str">
        <f>IF(A311="","",SUMIF(Satislar!E:E,A311,Satislar!G:G))</f>
        <v/>
      </c>
      <c r="F311" s="4" t="str">
        <f t="shared" si="1"/>
        <v/>
      </c>
      <c r="G311" s="4" t="str">
        <f>IFERROR(VLOOKUP(A311,Mehsullar!A:F,6,FALSE),"")</f>
        <v/>
      </c>
      <c r="H311" s="4" t="str">
        <f t="shared" si="2"/>
        <v/>
      </c>
    </row>
    <row r="312" ht="15.75" customHeight="1">
      <c r="A312" s="4"/>
      <c r="B312" s="4"/>
      <c r="C312" s="4"/>
      <c r="D312" s="4" t="str">
        <f>IF(A312="","",SUMIF(Anbar_Idxal!G:G,A312,Anbar_Idxal!H:H))</f>
        <v/>
      </c>
      <c r="E312" s="4" t="str">
        <f>IF(A312="","",SUMIF(Satislar!E:E,A312,Satislar!G:G))</f>
        <v/>
      </c>
      <c r="F312" s="4" t="str">
        <f t="shared" si="1"/>
        <v/>
      </c>
      <c r="G312" s="4" t="str">
        <f>IFERROR(VLOOKUP(A312,Mehsullar!A:F,6,FALSE),"")</f>
        <v/>
      </c>
      <c r="H312" s="4" t="str">
        <f t="shared" si="2"/>
        <v/>
      </c>
    </row>
    <row r="313" ht="15.75" customHeight="1">
      <c r="A313" s="4"/>
      <c r="B313" s="4"/>
      <c r="C313" s="4"/>
      <c r="D313" s="4" t="str">
        <f>IF(A313="","",SUMIF(Anbar_Idxal!G:G,A313,Anbar_Idxal!H:H))</f>
        <v/>
      </c>
      <c r="E313" s="4" t="str">
        <f>IF(A313="","",SUMIF(Satislar!E:E,A313,Satislar!G:G))</f>
        <v/>
      </c>
      <c r="F313" s="4" t="str">
        <f t="shared" si="1"/>
        <v/>
      </c>
      <c r="G313" s="4" t="str">
        <f>IFERROR(VLOOKUP(A313,Mehsullar!A:F,6,FALSE),"")</f>
        <v/>
      </c>
      <c r="H313" s="4" t="str">
        <f t="shared" si="2"/>
        <v/>
      </c>
    </row>
    <row r="314" ht="15.75" customHeight="1">
      <c r="A314" s="4"/>
      <c r="B314" s="4"/>
      <c r="C314" s="4"/>
      <c r="D314" s="4" t="str">
        <f>IF(A314="","",SUMIF(Anbar_Idxal!G:G,A314,Anbar_Idxal!H:H))</f>
        <v/>
      </c>
      <c r="E314" s="4" t="str">
        <f>IF(A314="","",SUMIF(Satislar!E:E,A314,Satislar!G:G))</f>
        <v/>
      </c>
      <c r="F314" s="4" t="str">
        <f t="shared" si="1"/>
        <v/>
      </c>
      <c r="G314" s="4" t="str">
        <f>IFERROR(VLOOKUP(A314,Mehsullar!A:F,6,FALSE),"")</f>
        <v/>
      </c>
      <c r="H314" s="4" t="str">
        <f t="shared" si="2"/>
        <v/>
      </c>
    </row>
    <row r="315" ht="15.75" customHeight="1">
      <c r="A315" s="4"/>
      <c r="B315" s="4"/>
      <c r="C315" s="4"/>
      <c r="D315" s="4" t="str">
        <f>IF(A315="","",SUMIF(Anbar_Idxal!G:G,A315,Anbar_Idxal!H:H))</f>
        <v/>
      </c>
      <c r="E315" s="4" t="str">
        <f>IF(A315="","",SUMIF(Satislar!E:E,A315,Satislar!G:G))</f>
        <v/>
      </c>
      <c r="F315" s="4" t="str">
        <f t="shared" si="1"/>
        <v/>
      </c>
      <c r="G315" s="4" t="str">
        <f>IFERROR(VLOOKUP(A315,Mehsullar!A:F,6,FALSE),"")</f>
        <v/>
      </c>
      <c r="H315" s="4" t="str">
        <f t="shared" si="2"/>
        <v/>
      </c>
    </row>
    <row r="316" ht="15.75" customHeight="1">
      <c r="A316" s="4"/>
      <c r="B316" s="4"/>
      <c r="C316" s="4"/>
      <c r="D316" s="4" t="str">
        <f>IF(A316="","",SUMIF(Anbar_Idxal!G:G,A316,Anbar_Idxal!H:H))</f>
        <v/>
      </c>
      <c r="E316" s="4" t="str">
        <f>IF(A316="","",SUMIF(Satislar!E:E,A316,Satislar!G:G))</f>
        <v/>
      </c>
      <c r="F316" s="4" t="str">
        <f t="shared" si="1"/>
        <v/>
      </c>
      <c r="G316" s="4" t="str">
        <f>IFERROR(VLOOKUP(A316,Mehsullar!A:F,6,FALSE),"")</f>
        <v/>
      </c>
      <c r="H316" s="4" t="str">
        <f t="shared" si="2"/>
        <v/>
      </c>
    </row>
    <row r="317" ht="15.75" customHeight="1">
      <c r="A317" s="4"/>
      <c r="B317" s="4"/>
      <c r="C317" s="4"/>
      <c r="D317" s="4" t="str">
        <f>IF(A317="","",SUMIF(Anbar_Idxal!G:G,A317,Anbar_Idxal!H:H))</f>
        <v/>
      </c>
      <c r="E317" s="4" t="str">
        <f>IF(A317="","",SUMIF(Satislar!E:E,A317,Satislar!G:G))</f>
        <v/>
      </c>
      <c r="F317" s="4" t="str">
        <f t="shared" si="1"/>
        <v/>
      </c>
      <c r="G317" s="4" t="str">
        <f>IFERROR(VLOOKUP(A317,Mehsullar!A:F,6,FALSE),"")</f>
        <v/>
      </c>
      <c r="H317" s="4" t="str">
        <f t="shared" si="2"/>
        <v/>
      </c>
    </row>
    <row r="318" ht="15.75" customHeight="1">
      <c r="A318" s="4"/>
      <c r="B318" s="4"/>
      <c r="C318" s="4"/>
      <c r="D318" s="4" t="str">
        <f>IF(A318="","",SUMIF(Anbar_Idxal!G:G,A318,Anbar_Idxal!H:H))</f>
        <v/>
      </c>
      <c r="E318" s="4" t="str">
        <f>IF(A318="","",SUMIF(Satislar!E:E,A318,Satislar!G:G))</f>
        <v/>
      </c>
      <c r="F318" s="4" t="str">
        <f t="shared" si="1"/>
        <v/>
      </c>
      <c r="G318" s="4" t="str">
        <f>IFERROR(VLOOKUP(A318,Mehsullar!A:F,6,FALSE),"")</f>
        <v/>
      </c>
      <c r="H318" s="4" t="str">
        <f t="shared" si="2"/>
        <v/>
      </c>
    </row>
    <row r="319" ht="15.75" customHeight="1">
      <c r="A319" s="4"/>
      <c r="B319" s="4"/>
      <c r="C319" s="4"/>
      <c r="D319" s="4" t="str">
        <f>IF(A319="","",SUMIF(Anbar_Idxal!G:G,A319,Anbar_Idxal!H:H))</f>
        <v/>
      </c>
      <c r="E319" s="4" t="str">
        <f>IF(A319="","",SUMIF(Satislar!E:E,A319,Satislar!G:G))</f>
        <v/>
      </c>
      <c r="F319" s="4" t="str">
        <f t="shared" si="1"/>
        <v/>
      </c>
      <c r="G319" s="4" t="str">
        <f>IFERROR(VLOOKUP(A319,Mehsullar!A:F,6,FALSE),"")</f>
        <v/>
      </c>
      <c r="H319" s="4" t="str">
        <f t="shared" si="2"/>
        <v/>
      </c>
    </row>
    <row r="320" ht="15.75" customHeight="1">
      <c r="A320" s="4"/>
      <c r="B320" s="4"/>
      <c r="C320" s="4"/>
      <c r="D320" s="4" t="str">
        <f>IF(A320="","",SUMIF(Anbar_Idxal!G:G,A320,Anbar_Idxal!H:H))</f>
        <v/>
      </c>
      <c r="E320" s="4" t="str">
        <f>IF(A320="","",SUMIF(Satislar!E:E,A320,Satislar!G:G))</f>
        <v/>
      </c>
      <c r="F320" s="4" t="str">
        <f t="shared" si="1"/>
        <v/>
      </c>
      <c r="G320" s="4" t="str">
        <f>IFERROR(VLOOKUP(A320,Mehsullar!A:F,6,FALSE),"")</f>
        <v/>
      </c>
      <c r="H320" s="4" t="str">
        <f t="shared" si="2"/>
        <v/>
      </c>
    </row>
    <row r="321" ht="15.75" customHeight="1">
      <c r="A321" s="4"/>
      <c r="B321" s="4"/>
      <c r="C321" s="4"/>
      <c r="D321" s="4" t="str">
        <f>IF(A321="","",SUMIF(Anbar_Idxal!G:G,A321,Anbar_Idxal!H:H))</f>
        <v/>
      </c>
      <c r="E321" s="4" t="str">
        <f>IF(A321="","",SUMIF(Satislar!E:E,A321,Satislar!G:G))</f>
        <v/>
      </c>
      <c r="F321" s="4" t="str">
        <f t="shared" si="1"/>
        <v/>
      </c>
      <c r="G321" s="4" t="str">
        <f>IFERROR(VLOOKUP(A321,Mehsullar!A:F,6,FALSE),"")</f>
        <v/>
      </c>
      <c r="H321" s="4" t="str">
        <f t="shared" si="2"/>
        <v/>
      </c>
    </row>
    <row r="322" ht="15.75" customHeight="1">
      <c r="A322" s="4"/>
      <c r="B322" s="4"/>
      <c r="C322" s="4"/>
      <c r="D322" s="4" t="str">
        <f>IF(A322="","",SUMIF(Anbar_Idxal!G:G,A322,Anbar_Idxal!H:H))</f>
        <v/>
      </c>
      <c r="E322" s="4" t="str">
        <f>IF(A322="","",SUMIF(Satislar!E:E,A322,Satislar!G:G))</f>
        <v/>
      </c>
      <c r="F322" s="4" t="str">
        <f t="shared" si="1"/>
        <v/>
      </c>
      <c r="G322" s="4" t="str">
        <f>IFERROR(VLOOKUP(A322,Mehsullar!A:F,6,FALSE),"")</f>
        <v/>
      </c>
      <c r="H322" s="4" t="str">
        <f t="shared" si="2"/>
        <v/>
      </c>
    </row>
    <row r="323" ht="15.75" customHeight="1">
      <c r="A323" s="4"/>
      <c r="B323" s="4"/>
      <c r="C323" s="4"/>
      <c r="D323" s="4" t="str">
        <f>IF(A323="","",SUMIF(Anbar_Idxal!G:G,A323,Anbar_Idxal!H:H))</f>
        <v/>
      </c>
      <c r="E323" s="4" t="str">
        <f>IF(A323="","",SUMIF(Satislar!E:E,A323,Satislar!G:G))</f>
        <v/>
      </c>
      <c r="F323" s="4" t="str">
        <f t="shared" si="1"/>
        <v/>
      </c>
      <c r="G323" s="4" t="str">
        <f>IFERROR(VLOOKUP(A323,Mehsullar!A:F,6,FALSE),"")</f>
        <v/>
      </c>
      <c r="H323" s="4" t="str">
        <f t="shared" si="2"/>
        <v/>
      </c>
    </row>
    <row r="324" ht="15.75" customHeight="1">
      <c r="A324" s="4"/>
      <c r="B324" s="4"/>
      <c r="C324" s="4"/>
      <c r="D324" s="4" t="str">
        <f>IF(A324="","",SUMIF(Anbar_Idxal!G:G,A324,Anbar_Idxal!H:H))</f>
        <v/>
      </c>
      <c r="E324" s="4" t="str">
        <f>IF(A324="","",SUMIF(Satislar!E:E,A324,Satislar!G:G))</f>
        <v/>
      </c>
      <c r="F324" s="4" t="str">
        <f t="shared" si="1"/>
        <v/>
      </c>
      <c r="G324" s="4" t="str">
        <f>IFERROR(VLOOKUP(A324,Mehsullar!A:F,6,FALSE),"")</f>
        <v/>
      </c>
      <c r="H324" s="4" t="str">
        <f t="shared" si="2"/>
        <v/>
      </c>
    </row>
    <row r="325" ht="15.75" customHeight="1">
      <c r="A325" s="4"/>
      <c r="B325" s="4"/>
      <c r="C325" s="4"/>
      <c r="D325" s="4" t="str">
        <f>IF(A325="","",SUMIF(Anbar_Idxal!G:G,A325,Anbar_Idxal!H:H))</f>
        <v/>
      </c>
      <c r="E325" s="4" t="str">
        <f>IF(A325="","",SUMIF(Satislar!E:E,A325,Satislar!G:G))</f>
        <v/>
      </c>
      <c r="F325" s="4" t="str">
        <f t="shared" si="1"/>
        <v/>
      </c>
      <c r="G325" s="4" t="str">
        <f>IFERROR(VLOOKUP(A325,Mehsullar!A:F,6,FALSE),"")</f>
        <v/>
      </c>
      <c r="H325" s="4" t="str">
        <f t="shared" si="2"/>
        <v/>
      </c>
    </row>
    <row r="326" ht="15.75" customHeight="1">
      <c r="A326" s="4"/>
      <c r="B326" s="4"/>
      <c r="C326" s="4"/>
      <c r="D326" s="4" t="str">
        <f>IF(A326="","",SUMIF(Anbar_Idxal!G:G,A326,Anbar_Idxal!H:H))</f>
        <v/>
      </c>
      <c r="E326" s="4" t="str">
        <f>IF(A326="","",SUMIF(Satislar!E:E,A326,Satislar!G:G))</f>
        <v/>
      </c>
      <c r="F326" s="4" t="str">
        <f t="shared" si="1"/>
        <v/>
      </c>
      <c r="G326" s="4" t="str">
        <f>IFERROR(VLOOKUP(A326,Mehsullar!A:F,6,FALSE),"")</f>
        <v/>
      </c>
      <c r="H326" s="4" t="str">
        <f t="shared" si="2"/>
        <v/>
      </c>
    </row>
    <row r="327" ht="15.75" customHeight="1">
      <c r="A327" s="4"/>
      <c r="B327" s="4"/>
      <c r="C327" s="4"/>
      <c r="D327" s="4" t="str">
        <f>IF(A327="","",SUMIF(Anbar_Idxal!G:G,A327,Anbar_Idxal!H:H))</f>
        <v/>
      </c>
      <c r="E327" s="4" t="str">
        <f>IF(A327="","",SUMIF(Satislar!E:E,A327,Satislar!G:G))</f>
        <v/>
      </c>
      <c r="F327" s="4" t="str">
        <f t="shared" si="1"/>
        <v/>
      </c>
      <c r="G327" s="4" t="str">
        <f>IFERROR(VLOOKUP(A327,Mehsullar!A:F,6,FALSE),"")</f>
        <v/>
      </c>
      <c r="H327" s="4" t="str">
        <f t="shared" si="2"/>
        <v/>
      </c>
    </row>
    <row r="328" ht="15.75" customHeight="1">
      <c r="A328" s="4"/>
      <c r="B328" s="4"/>
      <c r="C328" s="4"/>
      <c r="D328" s="4" t="str">
        <f>IF(A328="","",SUMIF(Anbar_Idxal!G:G,A328,Anbar_Idxal!H:H))</f>
        <v/>
      </c>
      <c r="E328" s="4" t="str">
        <f>IF(A328="","",SUMIF(Satislar!E:E,A328,Satislar!G:G))</f>
        <v/>
      </c>
      <c r="F328" s="4" t="str">
        <f t="shared" si="1"/>
        <v/>
      </c>
      <c r="G328" s="4" t="str">
        <f>IFERROR(VLOOKUP(A328,Mehsullar!A:F,6,FALSE),"")</f>
        <v/>
      </c>
      <c r="H328" s="4" t="str">
        <f t="shared" si="2"/>
        <v/>
      </c>
    </row>
    <row r="329" ht="15.75" customHeight="1">
      <c r="A329" s="4"/>
      <c r="B329" s="4"/>
      <c r="C329" s="4"/>
      <c r="D329" s="4" t="str">
        <f>IF(A329="","",SUMIF(Anbar_Idxal!G:G,A329,Anbar_Idxal!H:H))</f>
        <v/>
      </c>
      <c r="E329" s="4" t="str">
        <f>IF(A329="","",SUMIF(Satislar!E:E,A329,Satislar!G:G))</f>
        <v/>
      </c>
      <c r="F329" s="4" t="str">
        <f t="shared" si="1"/>
        <v/>
      </c>
      <c r="G329" s="4" t="str">
        <f>IFERROR(VLOOKUP(A329,Mehsullar!A:F,6,FALSE),"")</f>
        <v/>
      </c>
      <c r="H329" s="4" t="str">
        <f t="shared" si="2"/>
        <v/>
      </c>
    </row>
    <row r="330" ht="15.75" customHeight="1">
      <c r="A330" s="4"/>
      <c r="B330" s="4"/>
      <c r="C330" s="4"/>
      <c r="D330" s="4" t="str">
        <f>IF(A330="","",SUMIF(Anbar_Idxal!G:G,A330,Anbar_Idxal!H:H))</f>
        <v/>
      </c>
      <c r="E330" s="4" t="str">
        <f>IF(A330="","",SUMIF(Satislar!E:E,A330,Satislar!G:G))</f>
        <v/>
      </c>
      <c r="F330" s="4" t="str">
        <f t="shared" si="1"/>
        <v/>
      </c>
      <c r="G330" s="4" t="str">
        <f>IFERROR(VLOOKUP(A330,Mehsullar!A:F,6,FALSE),"")</f>
        <v/>
      </c>
      <c r="H330" s="4" t="str">
        <f t="shared" si="2"/>
        <v/>
      </c>
    </row>
    <row r="331" ht="15.75" customHeight="1">
      <c r="A331" s="4"/>
      <c r="B331" s="4"/>
      <c r="C331" s="4"/>
      <c r="D331" s="4" t="str">
        <f>IF(A331="","",SUMIF(Anbar_Idxal!G:G,A331,Anbar_Idxal!H:H))</f>
        <v/>
      </c>
      <c r="E331" s="4" t="str">
        <f>IF(A331="","",SUMIF(Satislar!E:E,A331,Satislar!G:G))</f>
        <v/>
      </c>
      <c r="F331" s="4" t="str">
        <f t="shared" si="1"/>
        <v/>
      </c>
      <c r="G331" s="4" t="str">
        <f>IFERROR(VLOOKUP(A331,Mehsullar!A:F,6,FALSE),"")</f>
        <v/>
      </c>
      <c r="H331" s="4" t="str">
        <f t="shared" si="2"/>
        <v/>
      </c>
    </row>
    <row r="332" ht="15.75" customHeight="1">
      <c r="A332" s="4"/>
      <c r="B332" s="4"/>
      <c r="C332" s="4"/>
      <c r="D332" s="4" t="str">
        <f>IF(A332="","",SUMIF(Anbar_Idxal!G:G,A332,Anbar_Idxal!H:H))</f>
        <v/>
      </c>
      <c r="E332" s="4" t="str">
        <f>IF(A332="","",SUMIF(Satislar!E:E,A332,Satislar!G:G))</f>
        <v/>
      </c>
      <c r="F332" s="4" t="str">
        <f t="shared" si="1"/>
        <v/>
      </c>
      <c r="G332" s="4" t="str">
        <f>IFERROR(VLOOKUP(A332,Mehsullar!A:F,6,FALSE),"")</f>
        <v/>
      </c>
      <c r="H332" s="4" t="str">
        <f t="shared" si="2"/>
        <v/>
      </c>
    </row>
    <row r="333" ht="15.75" customHeight="1">
      <c r="A333" s="4"/>
      <c r="B333" s="4"/>
      <c r="C333" s="4"/>
      <c r="D333" s="4" t="str">
        <f>IF(A333="","",SUMIF(Anbar_Idxal!G:G,A333,Anbar_Idxal!H:H))</f>
        <v/>
      </c>
      <c r="E333" s="4" t="str">
        <f>IF(A333="","",SUMIF(Satislar!E:E,A333,Satislar!G:G))</f>
        <v/>
      </c>
      <c r="F333" s="4" t="str">
        <f t="shared" si="1"/>
        <v/>
      </c>
      <c r="G333" s="4" t="str">
        <f>IFERROR(VLOOKUP(A333,Mehsullar!A:F,6,FALSE),"")</f>
        <v/>
      </c>
      <c r="H333" s="4" t="str">
        <f t="shared" si="2"/>
        <v/>
      </c>
    </row>
    <row r="334" ht="15.75" customHeight="1">
      <c r="A334" s="4"/>
      <c r="B334" s="4"/>
      <c r="C334" s="4"/>
      <c r="D334" s="4" t="str">
        <f>IF(A334="","",SUMIF(Anbar_Idxal!G:G,A334,Anbar_Idxal!H:H))</f>
        <v/>
      </c>
      <c r="E334" s="4" t="str">
        <f>IF(A334="","",SUMIF(Satislar!E:E,A334,Satislar!G:G))</f>
        <v/>
      </c>
      <c r="F334" s="4" t="str">
        <f t="shared" si="1"/>
        <v/>
      </c>
      <c r="G334" s="4" t="str">
        <f>IFERROR(VLOOKUP(A334,Mehsullar!A:F,6,FALSE),"")</f>
        <v/>
      </c>
      <c r="H334" s="4" t="str">
        <f t="shared" si="2"/>
        <v/>
      </c>
    </row>
    <row r="335" ht="15.75" customHeight="1">
      <c r="A335" s="4"/>
      <c r="B335" s="4"/>
      <c r="C335" s="4"/>
      <c r="D335" s="4" t="str">
        <f>IF(A335="","",SUMIF(Anbar_Idxal!G:G,A335,Anbar_Idxal!H:H))</f>
        <v/>
      </c>
      <c r="E335" s="4" t="str">
        <f>IF(A335="","",SUMIF(Satislar!E:E,A335,Satislar!G:G))</f>
        <v/>
      </c>
      <c r="F335" s="4" t="str">
        <f t="shared" si="1"/>
        <v/>
      </c>
      <c r="G335" s="4" t="str">
        <f>IFERROR(VLOOKUP(A335,Mehsullar!A:F,6,FALSE),"")</f>
        <v/>
      </c>
      <c r="H335" s="4" t="str">
        <f t="shared" si="2"/>
        <v/>
      </c>
    </row>
    <row r="336" ht="15.75" customHeight="1">
      <c r="A336" s="4"/>
      <c r="B336" s="4"/>
      <c r="C336" s="4"/>
      <c r="D336" s="4" t="str">
        <f>IF(A336="","",SUMIF(Anbar_Idxal!G:G,A336,Anbar_Idxal!H:H))</f>
        <v/>
      </c>
      <c r="E336" s="4" t="str">
        <f>IF(A336="","",SUMIF(Satislar!E:E,A336,Satislar!G:G))</f>
        <v/>
      </c>
      <c r="F336" s="4" t="str">
        <f t="shared" si="1"/>
        <v/>
      </c>
      <c r="G336" s="4" t="str">
        <f>IFERROR(VLOOKUP(A336,Mehsullar!A:F,6,FALSE),"")</f>
        <v/>
      </c>
      <c r="H336" s="4" t="str">
        <f t="shared" si="2"/>
        <v/>
      </c>
    </row>
    <row r="337" ht="15.75" customHeight="1">
      <c r="A337" s="4"/>
      <c r="B337" s="4"/>
      <c r="C337" s="4"/>
      <c r="D337" s="4" t="str">
        <f>IF(A337="","",SUMIF(Anbar_Idxal!G:G,A337,Anbar_Idxal!H:H))</f>
        <v/>
      </c>
      <c r="E337" s="4" t="str">
        <f>IF(A337="","",SUMIF(Satislar!E:E,A337,Satislar!G:G))</f>
        <v/>
      </c>
      <c r="F337" s="4" t="str">
        <f t="shared" si="1"/>
        <v/>
      </c>
      <c r="G337" s="4" t="str">
        <f>IFERROR(VLOOKUP(A337,Mehsullar!A:F,6,FALSE),"")</f>
        <v/>
      </c>
      <c r="H337" s="4" t="str">
        <f t="shared" si="2"/>
        <v/>
      </c>
    </row>
    <row r="338" ht="15.75" customHeight="1">
      <c r="A338" s="4"/>
      <c r="B338" s="4"/>
      <c r="C338" s="4"/>
      <c r="D338" s="4" t="str">
        <f>IF(A338="","",SUMIF(Anbar_Idxal!G:G,A338,Anbar_Idxal!H:H))</f>
        <v/>
      </c>
      <c r="E338" s="4" t="str">
        <f>IF(A338="","",SUMIF(Satislar!E:E,A338,Satislar!G:G))</f>
        <v/>
      </c>
      <c r="F338" s="4" t="str">
        <f t="shared" si="1"/>
        <v/>
      </c>
      <c r="G338" s="4" t="str">
        <f>IFERROR(VLOOKUP(A338,Mehsullar!A:F,6,FALSE),"")</f>
        <v/>
      </c>
      <c r="H338" s="4" t="str">
        <f t="shared" si="2"/>
        <v/>
      </c>
    </row>
    <row r="339" ht="15.75" customHeight="1">
      <c r="A339" s="4"/>
      <c r="B339" s="4"/>
      <c r="C339" s="4"/>
      <c r="D339" s="4" t="str">
        <f>IF(A339="","",SUMIF(Anbar_Idxal!G:G,A339,Anbar_Idxal!H:H))</f>
        <v/>
      </c>
      <c r="E339" s="4" t="str">
        <f>IF(A339="","",SUMIF(Satislar!E:E,A339,Satislar!G:G))</f>
        <v/>
      </c>
      <c r="F339" s="4" t="str">
        <f t="shared" si="1"/>
        <v/>
      </c>
      <c r="G339" s="4" t="str">
        <f>IFERROR(VLOOKUP(A339,Mehsullar!A:F,6,FALSE),"")</f>
        <v/>
      </c>
      <c r="H339" s="4" t="str">
        <f t="shared" si="2"/>
        <v/>
      </c>
    </row>
    <row r="340" ht="15.75" customHeight="1">
      <c r="A340" s="4"/>
      <c r="B340" s="4"/>
      <c r="C340" s="4"/>
      <c r="D340" s="4" t="str">
        <f>IF(A340="","",SUMIF(Anbar_Idxal!G:G,A340,Anbar_Idxal!H:H))</f>
        <v/>
      </c>
      <c r="E340" s="4" t="str">
        <f>IF(A340="","",SUMIF(Satislar!E:E,A340,Satislar!G:G))</f>
        <v/>
      </c>
      <c r="F340" s="4" t="str">
        <f t="shared" si="1"/>
        <v/>
      </c>
      <c r="G340" s="4" t="str">
        <f>IFERROR(VLOOKUP(A340,Mehsullar!A:F,6,FALSE),"")</f>
        <v/>
      </c>
      <c r="H340" s="4" t="str">
        <f t="shared" si="2"/>
        <v/>
      </c>
    </row>
    <row r="341" ht="15.75" customHeight="1">
      <c r="A341" s="4"/>
      <c r="B341" s="4"/>
      <c r="C341" s="4"/>
      <c r="D341" s="4" t="str">
        <f>IF(A341="","",SUMIF(Anbar_Idxal!G:G,A341,Anbar_Idxal!H:H))</f>
        <v/>
      </c>
      <c r="E341" s="4" t="str">
        <f>IF(A341="","",SUMIF(Satislar!E:E,A341,Satislar!G:G))</f>
        <v/>
      </c>
      <c r="F341" s="4" t="str">
        <f t="shared" si="1"/>
        <v/>
      </c>
      <c r="G341" s="4" t="str">
        <f>IFERROR(VLOOKUP(A341,Mehsullar!A:F,6,FALSE),"")</f>
        <v/>
      </c>
      <c r="H341" s="4" t="str">
        <f t="shared" si="2"/>
        <v/>
      </c>
    </row>
    <row r="342" ht="15.75" customHeight="1">
      <c r="A342" s="4"/>
      <c r="B342" s="4"/>
      <c r="C342" s="4"/>
      <c r="D342" s="4" t="str">
        <f>IF(A342="","",SUMIF(Anbar_Idxal!G:G,A342,Anbar_Idxal!H:H))</f>
        <v/>
      </c>
      <c r="E342" s="4" t="str">
        <f>IF(A342="","",SUMIF(Satislar!E:E,A342,Satislar!G:G))</f>
        <v/>
      </c>
      <c r="F342" s="4" t="str">
        <f t="shared" si="1"/>
        <v/>
      </c>
      <c r="G342" s="4" t="str">
        <f>IFERROR(VLOOKUP(A342,Mehsullar!A:F,6,FALSE),"")</f>
        <v/>
      </c>
      <c r="H342" s="4" t="str">
        <f t="shared" si="2"/>
        <v/>
      </c>
    </row>
    <row r="343" ht="15.75" customHeight="1">
      <c r="A343" s="4"/>
      <c r="B343" s="4"/>
      <c r="C343" s="4"/>
      <c r="D343" s="4" t="str">
        <f>IF(A343="","",SUMIF(Anbar_Idxal!G:G,A343,Anbar_Idxal!H:H))</f>
        <v/>
      </c>
      <c r="E343" s="4" t="str">
        <f>IF(A343="","",SUMIF(Satislar!E:E,A343,Satislar!G:G))</f>
        <v/>
      </c>
      <c r="F343" s="4" t="str">
        <f t="shared" si="1"/>
        <v/>
      </c>
      <c r="G343" s="4" t="str">
        <f>IFERROR(VLOOKUP(A343,Mehsullar!A:F,6,FALSE),"")</f>
        <v/>
      </c>
      <c r="H343" s="4" t="str">
        <f t="shared" si="2"/>
        <v/>
      </c>
    </row>
    <row r="344" ht="15.75" customHeight="1">
      <c r="A344" s="4"/>
      <c r="B344" s="4"/>
      <c r="C344" s="4"/>
      <c r="D344" s="4" t="str">
        <f>IF(A344="","",SUMIF(Anbar_Idxal!G:G,A344,Anbar_Idxal!H:H))</f>
        <v/>
      </c>
      <c r="E344" s="4" t="str">
        <f>IF(A344="","",SUMIF(Satislar!E:E,A344,Satislar!G:G))</f>
        <v/>
      </c>
      <c r="F344" s="4" t="str">
        <f t="shared" si="1"/>
        <v/>
      </c>
      <c r="G344" s="4" t="str">
        <f>IFERROR(VLOOKUP(A344,Mehsullar!A:F,6,FALSE),"")</f>
        <v/>
      </c>
      <c r="H344" s="4" t="str">
        <f t="shared" si="2"/>
        <v/>
      </c>
    </row>
    <row r="345" ht="15.75" customHeight="1">
      <c r="A345" s="4"/>
      <c r="B345" s="4"/>
      <c r="C345" s="4"/>
      <c r="D345" s="4" t="str">
        <f>IF(A345="","",SUMIF(Anbar_Idxal!G:G,A345,Anbar_Idxal!H:H))</f>
        <v/>
      </c>
      <c r="E345" s="4" t="str">
        <f>IF(A345="","",SUMIF(Satislar!E:E,A345,Satislar!G:G))</f>
        <v/>
      </c>
      <c r="F345" s="4" t="str">
        <f t="shared" si="1"/>
        <v/>
      </c>
      <c r="G345" s="4" t="str">
        <f>IFERROR(VLOOKUP(A345,Mehsullar!A:F,6,FALSE),"")</f>
        <v/>
      </c>
      <c r="H345" s="4" t="str">
        <f t="shared" si="2"/>
        <v/>
      </c>
    </row>
    <row r="346" ht="15.75" customHeight="1">
      <c r="A346" s="4"/>
      <c r="B346" s="4"/>
      <c r="C346" s="4"/>
      <c r="D346" s="4" t="str">
        <f>IF(A346="","",SUMIF(Anbar_Idxal!G:G,A346,Anbar_Idxal!H:H))</f>
        <v/>
      </c>
      <c r="E346" s="4" t="str">
        <f>IF(A346="","",SUMIF(Satislar!E:E,A346,Satislar!G:G))</f>
        <v/>
      </c>
      <c r="F346" s="4" t="str">
        <f t="shared" si="1"/>
        <v/>
      </c>
      <c r="G346" s="4" t="str">
        <f>IFERROR(VLOOKUP(A346,Mehsullar!A:F,6,FALSE),"")</f>
        <v/>
      </c>
      <c r="H346" s="4" t="str">
        <f t="shared" si="2"/>
        <v/>
      </c>
    </row>
    <row r="347" ht="15.75" customHeight="1">
      <c r="A347" s="4"/>
      <c r="B347" s="4"/>
      <c r="C347" s="4"/>
      <c r="D347" s="4" t="str">
        <f>IF(A347="","",SUMIF(Anbar_Idxal!G:G,A347,Anbar_Idxal!H:H))</f>
        <v/>
      </c>
      <c r="E347" s="4" t="str">
        <f>IF(A347="","",SUMIF(Satislar!E:E,A347,Satislar!G:G))</f>
        <v/>
      </c>
      <c r="F347" s="4" t="str">
        <f t="shared" si="1"/>
        <v/>
      </c>
      <c r="G347" s="4" t="str">
        <f>IFERROR(VLOOKUP(A347,Mehsullar!A:F,6,FALSE),"")</f>
        <v/>
      </c>
      <c r="H347" s="4" t="str">
        <f t="shared" si="2"/>
        <v/>
      </c>
    </row>
    <row r="348" ht="15.75" customHeight="1">
      <c r="A348" s="4"/>
      <c r="B348" s="4"/>
      <c r="C348" s="4"/>
      <c r="D348" s="4" t="str">
        <f>IF(A348="","",SUMIF(Anbar_Idxal!G:G,A348,Anbar_Idxal!H:H))</f>
        <v/>
      </c>
      <c r="E348" s="4" t="str">
        <f>IF(A348="","",SUMIF(Satislar!E:E,A348,Satislar!G:G))</f>
        <v/>
      </c>
      <c r="F348" s="4" t="str">
        <f t="shared" si="1"/>
        <v/>
      </c>
      <c r="G348" s="4" t="str">
        <f>IFERROR(VLOOKUP(A348,Mehsullar!A:F,6,FALSE),"")</f>
        <v/>
      </c>
      <c r="H348" s="4" t="str">
        <f t="shared" si="2"/>
        <v/>
      </c>
    </row>
    <row r="349" ht="15.75" customHeight="1">
      <c r="A349" s="4"/>
      <c r="B349" s="4"/>
      <c r="C349" s="4"/>
      <c r="D349" s="4" t="str">
        <f>IF(A349="","",SUMIF(Anbar_Idxal!G:G,A349,Anbar_Idxal!H:H))</f>
        <v/>
      </c>
      <c r="E349" s="4" t="str">
        <f>IF(A349="","",SUMIF(Satislar!E:E,A349,Satislar!G:G))</f>
        <v/>
      </c>
      <c r="F349" s="4" t="str">
        <f t="shared" si="1"/>
        <v/>
      </c>
      <c r="G349" s="4" t="str">
        <f>IFERROR(VLOOKUP(A349,Mehsullar!A:F,6,FALSE),"")</f>
        <v/>
      </c>
      <c r="H349" s="4" t="str">
        <f t="shared" si="2"/>
        <v/>
      </c>
    </row>
    <row r="350" ht="15.75" customHeight="1">
      <c r="A350" s="4"/>
      <c r="B350" s="4"/>
      <c r="C350" s="4"/>
      <c r="D350" s="4" t="str">
        <f>IF(A350="","",SUMIF(Anbar_Idxal!G:G,A350,Anbar_Idxal!H:H))</f>
        <v/>
      </c>
      <c r="E350" s="4" t="str">
        <f>IF(A350="","",SUMIF(Satislar!E:E,A350,Satislar!G:G))</f>
        <v/>
      </c>
      <c r="F350" s="4" t="str">
        <f t="shared" si="1"/>
        <v/>
      </c>
      <c r="G350" s="4" t="str">
        <f>IFERROR(VLOOKUP(A350,Mehsullar!A:F,6,FALSE),"")</f>
        <v/>
      </c>
      <c r="H350" s="4" t="str">
        <f t="shared" si="2"/>
        <v/>
      </c>
    </row>
    <row r="351" ht="15.75" customHeight="1">
      <c r="A351" s="4"/>
      <c r="B351" s="4"/>
      <c r="C351" s="4"/>
      <c r="D351" s="4" t="str">
        <f>IF(A351="","",SUMIF(Anbar_Idxal!G:G,A351,Anbar_Idxal!H:H))</f>
        <v/>
      </c>
      <c r="E351" s="4" t="str">
        <f>IF(A351="","",SUMIF(Satislar!E:E,A351,Satislar!G:G))</f>
        <v/>
      </c>
      <c r="F351" s="4" t="str">
        <f t="shared" si="1"/>
        <v/>
      </c>
      <c r="G351" s="4" t="str">
        <f>IFERROR(VLOOKUP(A351,Mehsullar!A:F,6,FALSE),"")</f>
        <v/>
      </c>
      <c r="H351" s="4" t="str">
        <f t="shared" si="2"/>
        <v/>
      </c>
    </row>
    <row r="352" ht="15.75" customHeight="1">
      <c r="A352" s="4"/>
      <c r="B352" s="4"/>
      <c r="C352" s="4"/>
      <c r="D352" s="4" t="str">
        <f>IF(A352="","",SUMIF(Anbar_Idxal!G:G,A352,Anbar_Idxal!H:H))</f>
        <v/>
      </c>
      <c r="E352" s="4" t="str">
        <f>IF(A352="","",SUMIF(Satislar!E:E,A352,Satislar!G:G))</f>
        <v/>
      </c>
      <c r="F352" s="4" t="str">
        <f t="shared" si="1"/>
        <v/>
      </c>
      <c r="G352" s="4" t="str">
        <f>IFERROR(VLOOKUP(A352,Mehsullar!A:F,6,FALSE),"")</f>
        <v/>
      </c>
      <c r="H352" s="4" t="str">
        <f t="shared" si="2"/>
        <v/>
      </c>
    </row>
    <row r="353" ht="15.75" customHeight="1">
      <c r="A353" s="4"/>
      <c r="B353" s="4"/>
      <c r="C353" s="4"/>
      <c r="D353" s="4" t="str">
        <f>IF(A353="","",SUMIF(Anbar_Idxal!G:G,A353,Anbar_Idxal!H:H))</f>
        <v/>
      </c>
      <c r="E353" s="4" t="str">
        <f>IF(A353="","",SUMIF(Satislar!E:E,A353,Satislar!G:G))</f>
        <v/>
      </c>
      <c r="F353" s="4" t="str">
        <f t="shared" si="1"/>
        <v/>
      </c>
      <c r="G353" s="4" t="str">
        <f>IFERROR(VLOOKUP(A353,Mehsullar!A:F,6,FALSE),"")</f>
        <v/>
      </c>
      <c r="H353" s="4" t="str">
        <f t="shared" si="2"/>
        <v/>
      </c>
    </row>
    <row r="354" ht="15.75" customHeight="1">
      <c r="A354" s="4"/>
      <c r="B354" s="4"/>
      <c r="C354" s="4"/>
      <c r="D354" s="4" t="str">
        <f>IF(A354="","",SUMIF(Anbar_Idxal!G:G,A354,Anbar_Idxal!H:H))</f>
        <v/>
      </c>
      <c r="E354" s="4" t="str">
        <f>IF(A354="","",SUMIF(Satislar!E:E,A354,Satislar!G:G))</f>
        <v/>
      </c>
      <c r="F354" s="4" t="str">
        <f t="shared" si="1"/>
        <v/>
      </c>
      <c r="G354" s="4" t="str">
        <f>IFERROR(VLOOKUP(A354,Mehsullar!A:F,6,FALSE),"")</f>
        <v/>
      </c>
      <c r="H354" s="4" t="str">
        <f t="shared" si="2"/>
        <v/>
      </c>
    </row>
    <row r="355" ht="15.75" customHeight="1">
      <c r="A355" s="4"/>
      <c r="B355" s="4"/>
      <c r="C355" s="4"/>
      <c r="D355" s="4" t="str">
        <f>IF(A355="","",SUMIF(Anbar_Idxal!G:G,A355,Anbar_Idxal!H:H))</f>
        <v/>
      </c>
      <c r="E355" s="4" t="str">
        <f>IF(A355="","",SUMIF(Satislar!E:E,A355,Satislar!G:G))</f>
        <v/>
      </c>
      <c r="F355" s="4" t="str">
        <f t="shared" si="1"/>
        <v/>
      </c>
      <c r="G355" s="4" t="str">
        <f>IFERROR(VLOOKUP(A355,Mehsullar!A:F,6,FALSE),"")</f>
        <v/>
      </c>
      <c r="H355" s="4" t="str">
        <f t="shared" si="2"/>
        <v/>
      </c>
    </row>
    <row r="356" ht="15.75" customHeight="1">
      <c r="A356" s="4"/>
      <c r="B356" s="4"/>
      <c r="C356" s="4"/>
      <c r="D356" s="4" t="str">
        <f>IF(A356="","",SUMIF(Anbar_Idxal!G:G,A356,Anbar_Idxal!H:H))</f>
        <v/>
      </c>
      <c r="E356" s="4" t="str">
        <f>IF(A356="","",SUMIF(Satislar!E:E,A356,Satislar!G:G))</f>
        <v/>
      </c>
      <c r="F356" s="4" t="str">
        <f t="shared" si="1"/>
        <v/>
      </c>
      <c r="G356" s="4" t="str">
        <f>IFERROR(VLOOKUP(A356,Mehsullar!A:F,6,FALSE),"")</f>
        <v/>
      </c>
      <c r="H356" s="4" t="str">
        <f t="shared" si="2"/>
        <v/>
      </c>
    </row>
    <row r="357" ht="15.75" customHeight="1">
      <c r="A357" s="4"/>
      <c r="B357" s="4"/>
      <c r="C357" s="4"/>
      <c r="D357" s="4" t="str">
        <f>IF(A357="","",SUMIF(Anbar_Idxal!G:G,A357,Anbar_Idxal!H:H))</f>
        <v/>
      </c>
      <c r="E357" s="4" t="str">
        <f>IF(A357="","",SUMIF(Satislar!E:E,A357,Satislar!G:G))</f>
        <v/>
      </c>
      <c r="F357" s="4" t="str">
        <f t="shared" si="1"/>
        <v/>
      </c>
      <c r="G357" s="4" t="str">
        <f>IFERROR(VLOOKUP(A357,Mehsullar!A:F,6,FALSE),"")</f>
        <v/>
      </c>
      <c r="H357" s="4" t="str">
        <f t="shared" si="2"/>
        <v/>
      </c>
    </row>
    <row r="358" ht="15.75" customHeight="1">
      <c r="A358" s="4"/>
      <c r="B358" s="4"/>
      <c r="C358" s="4"/>
      <c r="D358" s="4" t="str">
        <f>IF(A358="","",SUMIF(Anbar_Idxal!G:G,A358,Anbar_Idxal!H:H))</f>
        <v/>
      </c>
      <c r="E358" s="4" t="str">
        <f>IF(A358="","",SUMIF(Satislar!E:E,A358,Satislar!G:G))</f>
        <v/>
      </c>
      <c r="F358" s="4" t="str">
        <f t="shared" si="1"/>
        <v/>
      </c>
      <c r="G358" s="4" t="str">
        <f>IFERROR(VLOOKUP(A358,Mehsullar!A:F,6,FALSE),"")</f>
        <v/>
      </c>
      <c r="H358" s="4" t="str">
        <f t="shared" si="2"/>
        <v/>
      </c>
    </row>
    <row r="359" ht="15.75" customHeight="1">
      <c r="A359" s="4"/>
      <c r="B359" s="4"/>
      <c r="C359" s="4"/>
      <c r="D359" s="4" t="str">
        <f>IF(A359="","",SUMIF(Anbar_Idxal!G:G,A359,Anbar_Idxal!H:H))</f>
        <v/>
      </c>
      <c r="E359" s="4" t="str">
        <f>IF(A359="","",SUMIF(Satislar!E:E,A359,Satislar!G:G))</f>
        <v/>
      </c>
      <c r="F359" s="4" t="str">
        <f t="shared" si="1"/>
        <v/>
      </c>
      <c r="G359" s="4" t="str">
        <f>IFERROR(VLOOKUP(A359,Mehsullar!A:F,6,FALSE),"")</f>
        <v/>
      </c>
      <c r="H359" s="4" t="str">
        <f t="shared" si="2"/>
        <v/>
      </c>
    </row>
    <row r="360" ht="15.75" customHeight="1">
      <c r="A360" s="4"/>
      <c r="B360" s="4"/>
      <c r="C360" s="4"/>
      <c r="D360" s="4" t="str">
        <f>IF(A360="","",SUMIF(Anbar_Idxal!G:G,A360,Anbar_Idxal!H:H))</f>
        <v/>
      </c>
      <c r="E360" s="4" t="str">
        <f>IF(A360="","",SUMIF(Satislar!E:E,A360,Satislar!G:G))</f>
        <v/>
      </c>
      <c r="F360" s="4" t="str">
        <f t="shared" si="1"/>
        <v/>
      </c>
      <c r="G360" s="4" t="str">
        <f>IFERROR(VLOOKUP(A360,Mehsullar!A:F,6,FALSE),"")</f>
        <v/>
      </c>
      <c r="H360" s="4" t="str">
        <f t="shared" si="2"/>
        <v/>
      </c>
    </row>
    <row r="361" ht="15.75" customHeight="1">
      <c r="A361" s="4"/>
      <c r="B361" s="4"/>
      <c r="C361" s="4"/>
      <c r="D361" s="4" t="str">
        <f>IF(A361="","",SUMIF(Anbar_Idxal!G:G,A361,Anbar_Idxal!H:H))</f>
        <v/>
      </c>
      <c r="E361" s="4" t="str">
        <f>IF(A361="","",SUMIF(Satislar!E:E,A361,Satislar!G:G))</f>
        <v/>
      </c>
      <c r="F361" s="4" t="str">
        <f t="shared" si="1"/>
        <v/>
      </c>
      <c r="G361" s="4" t="str">
        <f>IFERROR(VLOOKUP(A361,Mehsullar!A:F,6,FALSE),"")</f>
        <v/>
      </c>
      <c r="H361" s="4" t="str">
        <f t="shared" si="2"/>
        <v/>
      </c>
    </row>
    <row r="362" ht="15.75" customHeight="1">
      <c r="A362" s="4"/>
      <c r="B362" s="4"/>
      <c r="C362" s="4"/>
      <c r="D362" s="4" t="str">
        <f>IF(A362="","",SUMIF(Anbar_Idxal!G:G,A362,Anbar_Idxal!H:H))</f>
        <v/>
      </c>
      <c r="E362" s="4" t="str">
        <f>IF(A362="","",SUMIF(Satislar!E:E,A362,Satislar!G:G))</f>
        <v/>
      </c>
      <c r="F362" s="4" t="str">
        <f t="shared" si="1"/>
        <v/>
      </c>
      <c r="G362" s="4" t="str">
        <f>IFERROR(VLOOKUP(A362,Mehsullar!A:F,6,FALSE),"")</f>
        <v/>
      </c>
      <c r="H362" s="4" t="str">
        <f t="shared" si="2"/>
        <v/>
      </c>
    </row>
    <row r="363" ht="15.75" customHeight="1">
      <c r="A363" s="4"/>
      <c r="B363" s="4"/>
      <c r="C363" s="4"/>
      <c r="D363" s="4" t="str">
        <f>IF(A363="","",SUMIF(Anbar_Idxal!G:G,A363,Anbar_Idxal!H:H))</f>
        <v/>
      </c>
      <c r="E363" s="4" t="str">
        <f>IF(A363="","",SUMIF(Satislar!E:E,A363,Satislar!G:G))</f>
        <v/>
      </c>
      <c r="F363" s="4" t="str">
        <f t="shared" si="1"/>
        <v/>
      </c>
      <c r="G363" s="4" t="str">
        <f>IFERROR(VLOOKUP(A363,Mehsullar!A:F,6,FALSE),"")</f>
        <v/>
      </c>
      <c r="H363" s="4" t="str">
        <f t="shared" si="2"/>
        <v/>
      </c>
    </row>
    <row r="364" ht="15.75" customHeight="1">
      <c r="A364" s="4"/>
      <c r="B364" s="4"/>
      <c r="C364" s="4"/>
      <c r="D364" s="4" t="str">
        <f>IF(A364="","",SUMIF(Anbar_Idxal!G:G,A364,Anbar_Idxal!H:H))</f>
        <v/>
      </c>
      <c r="E364" s="4" t="str">
        <f>IF(A364="","",SUMIF(Satislar!E:E,A364,Satislar!G:G))</f>
        <v/>
      </c>
      <c r="F364" s="4" t="str">
        <f t="shared" si="1"/>
        <v/>
      </c>
      <c r="G364" s="4" t="str">
        <f>IFERROR(VLOOKUP(A364,Mehsullar!A:F,6,FALSE),"")</f>
        <v/>
      </c>
      <c r="H364" s="4" t="str">
        <f t="shared" si="2"/>
        <v/>
      </c>
    </row>
    <row r="365" ht="15.75" customHeight="1">
      <c r="A365" s="4"/>
      <c r="B365" s="4"/>
      <c r="C365" s="4"/>
      <c r="D365" s="4" t="str">
        <f>IF(A365="","",SUMIF(Anbar_Idxal!G:G,A365,Anbar_Idxal!H:H))</f>
        <v/>
      </c>
      <c r="E365" s="4" t="str">
        <f>IF(A365="","",SUMIF(Satislar!E:E,A365,Satislar!G:G))</f>
        <v/>
      </c>
      <c r="F365" s="4" t="str">
        <f t="shared" si="1"/>
        <v/>
      </c>
      <c r="G365" s="4" t="str">
        <f>IFERROR(VLOOKUP(A365,Mehsullar!A:F,6,FALSE),"")</f>
        <v/>
      </c>
      <c r="H365" s="4" t="str">
        <f t="shared" si="2"/>
        <v/>
      </c>
    </row>
    <row r="366" ht="15.75" customHeight="1">
      <c r="A366" s="4"/>
      <c r="B366" s="4"/>
      <c r="C366" s="4"/>
      <c r="D366" s="4" t="str">
        <f>IF(A366="","",SUMIF(Anbar_Idxal!G:G,A366,Anbar_Idxal!H:H))</f>
        <v/>
      </c>
      <c r="E366" s="4" t="str">
        <f>IF(A366="","",SUMIF(Satislar!E:E,A366,Satislar!G:G))</f>
        <v/>
      </c>
      <c r="F366" s="4" t="str">
        <f t="shared" si="1"/>
        <v/>
      </c>
      <c r="G366" s="4" t="str">
        <f>IFERROR(VLOOKUP(A366,Mehsullar!A:F,6,FALSE),"")</f>
        <v/>
      </c>
      <c r="H366" s="4" t="str">
        <f t="shared" si="2"/>
        <v/>
      </c>
    </row>
    <row r="367" ht="15.75" customHeight="1">
      <c r="A367" s="4"/>
      <c r="B367" s="4"/>
      <c r="C367" s="4"/>
      <c r="D367" s="4" t="str">
        <f>IF(A367="","",SUMIF(Anbar_Idxal!G:G,A367,Anbar_Idxal!H:H))</f>
        <v/>
      </c>
      <c r="E367" s="4" t="str">
        <f>IF(A367="","",SUMIF(Satislar!E:E,A367,Satislar!G:G))</f>
        <v/>
      </c>
      <c r="F367" s="4" t="str">
        <f t="shared" si="1"/>
        <v/>
      </c>
      <c r="G367" s="4" t="str">
        <f>IFERROR(VLOOKUP(A367,Mehsullar!A:F,6,FALSE),"")</f>
        <v/>
      </c>
      <c r="H367" s="4" t="str">
        <f t="shared" si="2"/>
        <v/>
      </c>
    </row>
    <row r="368" ht="15.75" customHeight="1">
      <c r="A368" s="4"/>
      <c r="B368" s="4"/>
      <c r="C368" s="4"/>
      <c r="D368" s="4" t="str">
        <f>IF(A368="","",SUMIF(Anbar_Idxal!G:G,A368,Anbar_Idxal!H:H))</f>
        <v/>
      </c>
      <c r="E368" s="4" t="str">
        <f>IF(A368="","",SUMIF(Satislar!E:E,A368,Satislar!G:G))</f>
        <v/>
      </c>
      <c r="F368" s="4" t="str">
        <f t="shared" si="1"/>
        <v/>
      </c>
      <c r="G368" s="4" t="str">
        <f>IFERROR(VLOOKUP(A368,Mehsullar!A:F,6,FALSE),"")</f>
        <v/>
      </c>
      <c r="H368" s="4" t="str">
        <f t="shared" si="2"/>
        <v/>
      </c>
    </row>
    <row r="369" ht="15.75" customHeight="1">
      <c r="A369" s="4"/>
      <c r="B369" s="4"/>
      <c r="C369" s="4"/>
      <c r="D369" s="4" t="str">
        <f>IF(A369="","",SUMIF(Anbar_Idxal!G:G,A369,Anbar_Idxal!H:H))</f>
        <v/>
      </c>
      <c r="E369" s="4" t="str">
        <f>IF(A369="","",SUMIF(Satislar!E:E,A369,Satislar!G:G))</f>
        <v/>
      </c>
      <c r="F369" s="4" t="str">
        <f t="shared" si="1"/>
        <v/>
      </c>
      <c r="G369" s="4" t="str">
        <f>IFERROR(VLOOKUP(A369,Mehsullar!A:F,6,FALSE),"")</f>
        <v/>
      </c>
      <c r="H369" s="4" t="str">
        <f t="shared" si="2"/>
        <v/>
      </c>
    </row>
    <row r="370" ht="15.75" customHeight="1">
      <c r="A370" s="4"/>
      <c r="B370" s="4"/>
      <c r="C370" s="4"/>
      <c r="D370" s="4" t="str">
        <f>IF(A370="","",SUMIF(Anbar_Idxal!G:G,A370,Anbar_Idxal!H:H))</f>
        <v/>
      </c>
      <c r="E370" s="4" t="str">
        <f>IF(A370="","",SUMIF(Satislar!E:E,A370,Satislar!G:G))</f>
        <v/>
      </c>
      <c r="F370" s="4" t="str">
        <f t="shared" si="1"/>
        <v/>
      </c>
      <c r="G370" s="4" t="str">
        <f>IFERROR(VLOOKUP(A370,Mehsullar!A:F,6,FALSE),"")</f>
        <v/>
      </c>
      <c r="H370" s="4" t="str">
        <f t="shared" si="2"/>
        <v/>
      </c>
    </row>
    <row r="371" ht="15.75" customHeight="1">
      <c r="A371" s="4"/>
      <c r="B371" s="4"/>
      <c r="C371" s="4"/>
      <c r="D371" s="4" t="str">
        <f>IF(A371="","",SUMIF(Anbar_Idxal!G:G,A371,Anbar_Idxal!H:H))</f>
        <v/>
      </c>
      <c r="E371" s="4" t="str">
        <f>IF(A371="","",SUMIF(Satislar!E:E,A371,Satislar!G:G))</f>
        <v/>
      </c>
      <c r="F371" s="4" t="str">
        <f t="shared" si="1"/>
        <v/>
      </c>
      <c r="G371" s="4" t="str">
        <f>IFERROR(VLOOKUP(A371,Mehsullar!A:F,6,FALSE),"")</f>
        <v/>
      </c>
      <c r="H371" s="4" t="str">
        <f t="shared" si="2"/>
        <v/>
      </c>
    </row>
    <row r="372" ht="15.75" customHeight="1">
      <c r="A372" s="4"/>
      <c r="B372" s="4"/>
      <c r="C372" s="4"/>
      <c r="D372" s="4" t="str">
        <f>IF(A372="","",SUMIF(Anbar_Idxal!G:G,A372,Anbar_Idxal!H:H))</f>
        <v/>
      </c>
      <c r="E372" s="4" t="str">
        <f>IF(A372="","",SUMIF(Satislar!E:E,A372,Satislar!G:G))</f>
        <v/>
      </c>
      <c r="F372" s="4" t="str">
        <f t="shared" si="1"/>
        <v/>
      </c>
      <c r="G372" s="4" t="str">
        <f>IFERROR(VLOOKUP(A372,Mehsullar!A:F,6,FALSE),"")</f>
        <v/>
      </c>
      <c r="H372" s="4" t="str">
        <f t="shared" si="2"/>
        <v/>
      </c>
    </row>
    <row r="373" ht="15.75" customHeight="1">
      <c r="A373" s="4"/>
      <c r="B373" s="4"/>
      <c r="C373" s="4"/>
      <c r="D373" s="4" t="str">
        <f>IF(A373="","",SUMIF(Anbar_Idxal!G:G,A373,Anbar_Idxal!H:H))</f>
        <v/>
      </c>
      <c r="E373" s="4" t="str">
        <f>IF(A373="","",SUMIF(Satislar!E:E,A373,Satislar!G:G))</f>
        <v/>
      </c>
      <c r="F373" s="4" t="str">
        <f t="shared" si="1"/>
        <v/>
      </c>
      <c r="G373" s="4" t="str">
        <f>IFERROR(VLOOKUP(A373,Mehsullar!A:F,6,FALSE),"")</f>
        <v/>
      </c>
      <c r="H373" s="4" t="str">
        <f t="shared" si="2"/>
        <v/>
      </c>
    </row>
    <row r="374" ht="15.75" customHeight="1">
      <c r="A374" s="4"/>
      <c r="B374" s="4"/>
      <c r="C374" s="4"/>
      <c r="D374" s="4" t="str">
        <f>IF(A374="","",SUMIF(Anbar_Idxal!G:G,A374,Anbar_Idxal!H:H))</f>
        <v/>
      </c>
      <c r="E374" s="4" t="str">
        <f>IF(A374="","",SUMIF(Satislar!E:E,A374,Satislar!G:G))</f>
        <v/>
      </c>
      <c r="F374" s="4" t="str">
        <f t="shared" si="1"/>
        <v/>
      </c>
      <c r="G374" s="4" t="str">
        <f>IFERROR(VLOOKUP(A374,Mehsullar!A:F,6,FALSE),"")</f>
        <v/>
      </c>
      <c r="H374" s="4" t="str">
        <f t="shared" si="2"/>
        <v/>
      </c>
    </row>
    <row r="375" ht="15.75" customHeight="1">
      <c r="A375" s="4"/>
      <c r="B375" s="4"/>
      <c r="C375" s="4"/>
      <c r="D375" s="4" t="str">
        <f>IF(A375="","",SUMIF(Anbar_Idxal!G:G,A375,Anbar_Idxal!H:H))</f>
        <v/>
      </c>
      <c r="E375" s="4" t="str">
        <f>IF(A375="","",SUMIF(Satislar!E:E,A375,Satislar!G:G))</f>
        <v/>
      </c>
      <c r="F375" s="4" t="str">
        <f t="shared" si="1"/>
        <v/>
      </c>
      <c r="G375" s="4" t="str">
        <f>IFERROR(VLOOKUP(A375,Mehsullar!A:F,6,FALSE),"")</f>
        <v/>
      </c>
      <c r="H375" s="4" t="str">
        <f t="shared" si="2"/>
        <v/>
      </c>
    </row>
    <row r="376" ht="15.75" customHeight="1">
      <c r="A376" s="4"/>
      <c r="B376" s="4"/>
      <c r="C376" s="4"/>
      <c r="D376" s="4" t="str">
        <f>IF(A376="","",SUMIF(Anbar_Idxal!G:G,A376,Anbar_Idxal!H:H))</f>
        <v/>
      </c>
      <c r="E376" s="4" t="str">
        <f>IF(A376="","",SUMIF(Satislar!E:E,A376,Satislar!G:G))</f>
        <v/>
      </c>
      <c r="F376" s="4" t="str">
        <f t="shared" si="1"/>
        <v/>
      </c>
      <c r="G376" s="4" t="str">
        <f>IFERROR(VLOOKUP(A376,Mehsullar!A:F,6,FALSE),"")</f>
        <v/>
      </c>
      <c r="H376" s="4" t="str">
        <f t="shared" si="2"/>
        <v/>
      </c>
    </row>
    <row r="377" ht="15.75" customHeight="1">
      <c r="A377" s="4"/>
      <c r="B377" s="4"/>
      <c r="C377" s="4"/>
      <c r="D377" s="4" t="str">
        <f>IF(A377="","",SUMIF(Anbar_Idxal!G:G,A377,Anbar_Idxal!H:H))</f>
        <v/>
      </c>
      <c r="E377" s="4" t="str">
        <f>IF(A377="","",SUMIF(Satislar!E:E,A377,Satislar!G:G))</f>
        <v/>
      </c>
      <c r="F377" s="4" t="str">
        <f t="shared" si="1"/>
        <v/>
      </c>
      <c r="G377" s="4" t="str">
        <f>IFERROR(VLOOKUP(A377,Mehsullar!A:F,6,FALSE),"")</f>
        <v/>
      </c>
      <c r="H377" s="4" t="str">
        <f t="shared" si="2"/>
        <v/>
      </c>
    </row>
    <row r="378" ht="15.75" customHeight="1">
      <c r="A378" s="4"/>
      <c r="B378" s="4"/>
      <c r="C378" s="4"/>
      <c r="D378" s="4" t="str">
        <f>IF(A378="","",SUMIF(Anbar_Idxal!G:G,A378,Anbar_Idxal!H:H))</f>
        <v/>
      </c>
      <c r="E378" s="4" t="str">
        <f>IF(A378="","",SUMIF(Satislar!E:E,A378,Satislar!G:G))</f>
        <v/>
      </c>
      <c r="F378" s="4" t="str">
        <f t="shared" si="1"/>
        <v/>
      </c>
      <c r="G378" s="4" t="str">
        <f>IFERROR(VLOOKUP(A378,Mehsullar!A:F,6,FALSE),"")</f>
        <v/>
      </c>
      <c r="H378" s="4" t="str">
        <f t="shared" si="2"/>
        <v/>
      </c>
    </row>
    <row r="379" ht="15.75" customHeight="1">
      <c r="A379" s="4"/>
      <c r="B379" s="4"/>
      <c r="C379" s="4"/>
      <c r="D379" s="4" t="str">
        <f>IF(A379="","",SUMIF(Anbar_Idxal!G:G,A379,Anbar_Idxal!H:H))</f>
        <v/>
      </c>
      <c r="E379" s="4" t="str">
        <f>IF(A379="","",SUMIF(Satislar!E:E,A379,Satislar!G:G))</f>
        <v/>
      </c>
      <c r="F379" s="4" t="str">
        <f t="shared" si="1"/>
        <v/>
      </c>
      <c r="G379" s="4" t="str">
        <f>IFERROR(VLOOKUP(A379,Mehsullar!A:F,6,FALSE),"")</f>
        <v/>
      </c>
      <c r="H379" s="4" t="str">
        <f t="shared" si="2"/>
        <v/>
      </c>
    </row>
    <row r="380" ht="15.75" customHeight="1">
      <c r="A380" s="4"/>
      <c r="B380" s="4"/>
      <c r="C380" s="4"/>
      <c r="D380" s="4" t="str">
        <f>IF(A380="","",SUMIF(Anbar_Idxal!G:G,A380,Anbar_Idxal!H:H))</f>
        <v/>
      </c>
      <c r="E380" s="4" t="str">
        <f>IF(A380="","",SUMIF(Satislar!E:E,A380,Satislar!G:G))</f>
        <v/>
      </c>
      <c r="F380" s="4" t="str">
        <f t="shared" si="1"/>
        <v/>
      </c>
      <c r="G380" s="4" t="str">
        <f>IFERROR(VLOOKUP(A380,Mehsullar!A:F,6,FALSE),"")</f>
        <v/>
      </c>
      <c r="H380" s="4" t="str">
        <f t="shared" si="2"/>
        <v/>
      </c>
    </row>
    <row r="381" ht="15.75" customHeight="1">
      <c r="A381" s="4"/>
      <c r="B381" s="4"/>
      <c r="C381" s="4"/>
      <c r="D381" s="4" t="str">
        <f>IF(A381="","",SUMIF(Anbar_Idxal!G:G,A381,Anbar_Idxal!H:H))</f>
        <v/>
      </c>
      <c r="E381" s="4" t="str">
        <f>IF(A381="","",SUMIF(Satislar!E:E,A381,Satislar!G:G))</f>
        <v/>
      </c>
      <c r="F381" s="4" t="str">
        <f t="shared" si="1"/>
        <v/>
      </c>
      <c r="G381" s="4" t="str">
        <f>IFERROR(VLOOKUP(A381,Mehsullar!A:F,6,FALSE),"")</f>
        <v/>
      </c>
      <c r="H381" s="4" t="str">
        <f t="shared" si="2"/>
        <v/>
      </c>
    </row>
    <row r="382" ht="15.75" customHeight="1">
      <c r="A382" s="4"/>
      <c r="B382" s="4"/>
      <c r="C382" s="4"/>
      <c r="D382" s="4" t="str">
        <f>IF(A382="","",SUMIF(Anbar_Idxal!G:G,A382,Anbar_Idxal!H:H))</f>
        <v/>
      </c>
      <c r="E382" s="4" t="str">
        <f>IF(A382="","",SUMIF(Satislar!E:E,A382,Satislar!G:G))</f>
        <v/>
      </c>
      <c r="F382" s="4" t="str">
        <f t="shared" si="1"/>
        <v/>
      </c>
      <c r="G382" s="4" t="str">
        <f>IFERROR(VLOOKUP(A382,Mehsullar!A:F,6,FALSE),"")</f>
        <v/>
      </c>
      <c r="H382" s="4" t="str">
        <f t="shared" si="2"/>
        <v/>
      </c>
    </row>
    <row r="383" ht="15.75" customHeight="1">
      <c r="A383" s="4"/>
      <c r="B383" s="4"/>
      <c r="C383" s="4"/>
      <c r="D383" s="4" t="str">
        <f>IF(A383="","",SUMIF(Anbar_Idxal!G:G,A383,Anbar_Idxal!H:H))</f>
        <v/>
      </c>
      <c r="E383" s="4" t="str">
        <f>IF(A383="","",SUMIF(Satislar!E:E,A383,Satislar!G:G))</f>
        <v/>
      </c>
      <c r="F383" s="4" t="str">
        <f t="shared" si="1"/>
        <v/>
      </c>
      <c r="G383" s="4" t="str">
        <f>IFERROR(VLOOKUP(A383,Mehsullar!A:F,6,FALSE),"")</f>
        <v/>
      </c>
      <c r="H383" s="4" t="str">
        <f t="shared" si="2"/>
        <v/>
      </c>
    </row>
    <row r="384" ht="15.75" customHeight="1">
      <c r="A384" s="4"/>
      <c r="B384" s="4"/>
      <c r="C384" s="4"/>
      <c r="D384" s="4" t="str">
        <f>IF(A384="","",SUMIF(Anbar_Idxal!G:G,A384,Anbar_Idxal!H:H))</f>
        <v/>
      </c>
      <c r="E384" s="4" t="str">
        <f>IF(A384="","",SUMIF(Satislar!E:E,A384,Satislar!G:G))</f>
        <v/>
      </c>
      <c r="F384" s="4" t="str">
        <f t="shared" si="1"/>
        <v/>
      </c>
      <c r="G384" s="4" t="str">
        <f>IFERROR(VLOOKUP(A384,Mehsullar!A:F,6,FALSE),"")</f>
        <v/>
      </c>
      <c r="H384" s="4" t="str">
        <f t="shared" si="2"/>
        <v/>
      </c>
    </row>
    <row r="385" ht="15.75" customHeight="1">
      <c r="A385" s="4"/>
      <c r="B385" s="4"/>
      <c r="C385" s="4"/>
      <c r="D385" s="4" t="str">
        <f>IF(A385="","",SUMIF(Anbar_Idxal!G:G,A385,Anbar_Idxal!H:H))</f>
        <v/>
      </c>
      <c r="E385" s="4" t="str">
        <f>IF(A385="","",SUMIF(Satislar!E:E,A385,Satislar!G:G))</f>
        <v/>
      </c>
      <c r="F385" s="4" t="str">
        <f t="shared" si="1"/>
        <v/>
      </c>
      <c r="G385" s="4" t="str">
        <f>IFERROR(VLOOKUP(A385,Mehsullar!A:F,6,FALSE),"")</f>
        <v/>
      </c>
      <c r="H385" s="4" t="str">
        <f t="shared" si="2"/>
        <v/>
      </c>
    </row>
    <row r="386" ht="15.75" customHeight="1">
      <c r="A386" s="4"/>
      <c r="B386" s="4"/>
      <c r="C386" s="4"/>
      <c r="D386" s="4" t="str">
        <f>IF(A386="","",SUMIF(Anbar_Idxal!G:G,A386,Anbar_Idxal!H:H))</f>
        <v/>
      </c>
      <c r="E386" s="4" t="str">
        <f>IF(A386="","",SUMIF(Satislar!E:E,A386,Satislar!G:G))</f>
        <v/>
      </c>
      <c r="F386" s="4" t="str">
        <f t="shared" si="1"/>
        <v/>
      </c>
      <c r="G386" s="4" t="str">
        <f>IFERROR(VLOOKUP(A386,Mehsullar!A:F,6,FALSE),"")</f>
        <v/>
      </c>
      <c r="H386" s="4" t="str">
        <f t="shared" si="2"/>
        <v/>
      </c>
    </row>
    <row r="387" ht="15.75" customHeight="1">
      <c r="A387" s="4"/>
      <c r="B387" s="4"/>
      <c r="C387" s="4"/>
      <c r="D387" s="4" t="str">
        <f>IF(A387="","",SUMIF(Anbar_Idxal!G:G,A387,Anbar_Idxal!H:H))</f>
        <v/>
      </c>
      <c r="E387" s="4" t="str">
        <f>IF(A387="","",SUMIF(Satislar!E:E,A387,Satislar!G:G))</f>
        <v/>
      </c>
      <c r="F387" s="4" t="str">
        <f t="shared" si="1"/>
        <v/>
      </c>
      <c r="G387" s="4" t="str">
        <f>IFERROR(VLOOKUP(A387,Mehsullar!A:F,6,FALSE),"")</f>
        <v/>
      </c>
      <c r="H387" s="4" t="str">
        <f t="shared" si="2"/>
        <v/>
      </c>
    </row>
    <row r="388" ht="15.75" customHeight="1">
      <c r="A388" s="4"/>
      <c r="B388" s="4"/>
      <c r="C388" s="4"/>
      <c r="D388" s="4" t="str">
        <f>IF(A388="","",SUMIF(Anbar_Idxal!G:G,A388,Anbar_Idxal!H:H))</f>
        <v/>
      </c>
      <c r="E388" s="4" t="str">
        <f>IF(A388="","",SUMIF(Satislar!E:E,A388,Satislar!G:G))</f>
        <v/>
      </c>
      <c r="F388" s="4" t="str">
        <f t="shared" si="1"/>
        <v/>
      </c>
      <c r="G388" s="4" t="str">
        <f>IFERROR(VLOOKUP(A388,Mehsullar!A:F,6,FALSE),"")</f>
        <v/>
      </c>
      <c r="H388" s="4" t="str">
        <f t="shared" si="2"/>
        <v/>
      </c>
    </row>
    <row r="389" ht="15.75" customHeight="1">
      <c r="A389" s="4"/>
      <c r="B389" s="4"/>
      <c r="C389" s="4"/>
      <c r="D389" s="4" t="str">
        <f>IF(A389="","",SUMIF(Anbar_Idxal!G:G,A389,Anbar_Idxal!H:H))</f>
        <v/>
      </c>
      <c r="E389" s="4" t="str">
        <f>IF(A389="","",SUMIF(Satislar!E:E,A389,Satislar!G:G))</f>
        <v/>
      </c>
      <c r="F389" s="4" t="str">
        <f t="shared" si="1"/>
        <v/>
      </c>
      <c r="G389" s="4" t="str">
        <f>IFERROR(VLOOKUP(A389,Mehsullar!A:F,6,FALSE),"")</f>
        <v/>
      </c>
      <c r="H389" s="4" t="str">
        <f t="shared" si="2"/>
        <v/>
      </c>
    </row>
    <row r="390" ht="15.75" customHeight="1">
      <c r="A390" s="4"/>
      <c r="B390" s="4"/>
      <c r="C390" s="4"/>
      <c r="D390" s="4" t="str">
        <f>IF(A390="","",SUMIF(Anbar_Idxal!G:G,A390,Anbar_Idxal!H:H))</f>
        <v/>
      </c>
      <c r="E390" s="4" t="str">
        <f>IF(A390="","",SUMIF(Satislar!E:E,A390,Satislar!G:G))</f>
        <v/>
      </c>
      <c r="F390" s="4" t="str">
        <f t="shared" si="1"/>
        <v/>
      </c>
      <c r="G390" s="4" t="str">
        <f>IFERROR(VLOOKUP(A390,Mehsullar!A:F,6,FALSE),"")</f>
        <v/>
      </c>
      <c r="H390" s="4" t="str">
        <f t="shared" si="2"/>
        <v/>
      </c>
    </row>
    <row r="391" ht="15.75" customHeight="1">
      <c r="A391" s="4"/>
      <c r="B391" s="4"/>
      <c r="C391" s="4"/>
      <c r="D391" s="4" t="str">
        <f>IF(A391="","",SUMIF(Anbar_Idxal!G:G,A391,Anbar_Idxal!H:H))</f>
        <v/>
      </c>
      <c r="E391" s="4" t="str">
        <f>IF(A391="","",SUMIF(Satislar!E:E,A391,Satislar!G:G))</f>
        <v/>
      </c>
      <c r="F391" s="4" t="str">
        <f t="shared" si="1"/>
        <v/>
      </c>
      <c r="G391" s="4" t="str">
        <f>IFERROR(VLOOKUP(A391,Mehsullar!A:F,6,FALSE),"")</f>
        <v/>
      </c>
      <c r="H391" s="4" t="str">
        <f t="shared" si="2"/>
        <v/>
      </c>
    </row>
    <row r="392" ht="15.75" customHeight="1">
      <c r="A392" s="4"/>
      <c r="B392" s="4"/>
      <c r="C392" s="4"/>
      <c r="D392" s="4" t="str">
        <f>IF(A392="","",SUMIF(Anbar_Idxal!G:G,A392,Anbar_Idxal!H:H))</f>
        <v/>
      </c>
      <c r="E392" s="4" t="str">
        <f>IF(A392="","",SUMIF(Satislar!E:E,A392,Satislar!G:G))</f>
        <v/>
      </c>
      <c r="F392" s="4" t="str">
        <f t="shared" si="1"/>
        <v/>
      </c>
      <c r="G392" s="4" t="str">
        <f>IFERROR(VLOOKUP(A392,Mehsullar!A:F,6,FALSE),"")</f>
        <v/>
      </c>
      <c r="H392" s="4" t="str">
        <f t="shared" si="2"/>
        <v/>
      </c>
    </row>
    <row r="393" ht="15.75" customHeight="1">
      <c r="A393" s="4"/>
      <c r="B393" s="4"/>
      <c r="C393" s="4"/>
      <c r="D393" s="4" t="str">
        <f>IF(A393="","",SUMIF(Anbar_Idxal!G:G,A393,Anbar_Idxal!H:H))</f>
        <v/>
      </c>
      <c r="E393" s="4" t="str">
        <f>IF(A393="","",SUMIF(Satislar!E:E,A393,Satislar!G:G))</f>
        <v/>
      </c>
      <c r="F393" s="4" t="str">
        <f t="shared" si="1"/>
        <v/>
      </c>
      <c r="G393" s="4" t="str">
        <f>IFERROR(VLOOKUP(A393,Mehsullar!A:F,6,FALSE),"")</f>
        <v/>
      </c>
      <c r="H393" s="4" t="str">
        <f t="shared" si="2"/>
        <v/>
      </c>
    </row>
    <row r="394" ht="15.75" customHeight="1">
      <c r="A394" s="4"/>
      <c r="B394" s="4"/>
      <c r="C394" s="4"/>
      <c r="D394" s="4" t="str">
        <f>IF(A394="","",SUMIF(Anbar_Idxal!G:G,A394,Anbar_Idxal!H:H))</f>
        <v/>
      </c>
      <c r="E394" s="4" t="str">
        <f>IF(A394="","",SUMIF(Satislar!E:E,A394,Satislar!G:G))</f>
        <v/>
      </c>
      <c r="F394" s="4" t="str">
        <f t="shared" si="1"/>
        <v/>
      </c>
      <c r="G394" s="4" t="str">
        <f>IFERROR(VLOOKUP(A394,Mehsullar!A:F,6,FALSE),"")</f>
        <v/>
      </c>
      <c r="H394" s="4" t="str">
        <f t="shared" si="2"/>
        <v/>
      </c>
    </row>
    <row r="395" ht="15.75" customHeight="1">
      <c r="A395" s="4"/>
      <c r="B395" s="4"/>
      <c r="C395" s="4"/>
      <c r="D395" s="4" t="str">
        <f>IF(A395="","",SUMIF(Anbar_Idxal!G:G,A395,Anbar_Idxal!H:H))</f>
        <v/>
      </c>
      <c r="E395" s="4" t="str">
        <f>IF(A395="","",SUMIF(Satislar!E:E,A395,Satislar!G:G))</f>
        <v/>
      </c>
      <c r="F395" s="4" t="str">
        <f t="shared" si="1"/>
        <v/>
      </c>
      <c r="G395" s="4" t="str">
        <f>IFERROR(VLOOKUP(A395,Mehsullar!A:F,6,FALSE),"")</f>
        <v/>
      </c>
      <c r="H395" s="4" t="str">
        <f t="shared" si="2"/>
        <v/>
      </c>
    </row>
    <row r="396" ht="15.75" customHeight="1">
      <c r="A396" s="4"/>
      <c r="B396" s="4"/>
      <c r="C396" s="4"/>
      <c r="D396" s="4" t="str">
        <f>IF(A396="","",SUMIF(Anbar_Idxal!G:G,A396,Anbar_Idxal!H:H))</f>
        <v/>
      </c>
      <c r="E396" s="4" t="str">
        <f>IF(A396="","",SUMIF(Satislar!E:E,A396,Satislar!G:G))</f>
        <v/>
      </c>
      <c r="F396" s="4" t="str">
        <f t="shared" si="1"/>
        <v/>
      </c>
      <c r="G396" s="4" t="str">
        <f>IFERROR(VLOOKUP(A396,Mehsullar!A:F,6,FALSE),"")</f>
        <v/>
      </c>
      <c r="H396" s="4" t="str">
        <f t="shared" si="2"/>
        <v/>
      </c>
    </row>
    <row r="397" ht="15.75" customHeight="1">
      <c r="A397" s="4"/>
      <c r="B397" s="4"/>
      <c r="C397" s="4"/>
      <c r="D397" s="4" t="str">
        <f>IF(A397="","",SUMIF(Anbar_Idxal!G:G,A397,Anbar_Idxal!H:H))</f>
        <v/>
      </c>
      <c r="E397" s="4" t="str">
        <f>IF(A397="","",SUMIF(Satislar!E:E,A397,Satislar!G:G))</f>
        <v/>
      </c>
      <c r="F397" s="4" t="str">
        <f t="shared" si="1"/>
        <v/>
      </c>
      <c r="G397" s="4" t="str">
        <f>IFERROR(VLOOKUP(A397,Mehsullar!A:F,6,FALSE),"")</f>
        <v/>
      </c>
      <c r="H397" s="4" t="str">
        <f t="shared" si="2"/>
        <v/>
      </c>
    </row>
    <row r="398" ht="15.75" customHeight="1">
      <c r="A398" s="4"/>
      <c r="B398" s="4"/>
      <c r="C398" s="4"/>
      <c r="D398" s="4" t="str">
        <f>IF(A398="","",SUMIF(Anbar_Idxal!G:G,A398,Anbar_Idxal!H:H))</f>
        <v/>
      </c>
      <c r="E398" s="4" t="str">
        <f>IF(A398="","",SUMIF(Satislar!E:E,A398,Satislar!G:G))</f>
        <v/>
      </c>
      <c r="F398" s="4" t="str">
        <f t="shared" si="1"/>
        <v/>
      </c>
      <c r="G398" s="4" t="str">
        <f>IFERROR(VLOOKUP(A398,Mehsullar!A:F,6,FALSE),"")</f>
        <v/>
      </c>
      <c r="H398" s="4" t="str">
        <f t="shared" si="2"/>
        <v/>
      </c>
    </row>
    <row r="399" ht="15.75" customHeight="1">
      <c r="A399" s="4"/>
      <c r="B399" s="4"/>
      <c r="C399" s="4"/>
      <c r="D399" s="4" t="str">
        <f>IF(A399="","",SUMIF(Anbar_Idxal!G:G,A399,Anbar_Idxal!H:H))</f>
        <v/>
      </c>
      <c r="E399" s="4" t="str">
        <f>IF(A399="","",SUMIF(Satislar!E:E,A399,Satislar!G:G))</f>
        <v/>
      </c>
      <c r="F399" s="4" t="str">
        <f t="shared" si="1"/>
        <v/>
      </c>
      <c r="G399" s="4" t="str">
        <f>IFERROR(VLOOKUP(A399,Mehsullar!A:F,6,FALSE),"")</f>
        <v/>
      </c>
      <c r="H399" s="4" t="str">
        <f t="shared" si="2"/>
        <v/>
      </c>
    </row>
    <row r="400" ht="15.75" customHeight="1">
      <c r="A400" s="4"/>
      <c r="B400" s="4"/>
      <c r="C400" s="4"/>
      <c r="D400" s="4" t="str">
        <f>IF(A400="","",SUMIF(Anbar_Idxal!G:G,A400,Anbar_Idxal!H:H))</f>
        <v/>
      </c>
      <c r="E400" s="4" t="str">
        <f>IF(A400="","",SUMIF(Satislar!E:E,A400,Satislar!G:G))</f>
        <v/>
      </c>
      <c r="F400" s="4" t="str">
        <f t="shared" si="1"/>
        <v/>
      </c>
      <c r="G400" s="4" t="str">
        <f>IFERROR(VLOOKUP(A400,Mehsullar!A:F,6,FALSE),"")</f>
        <v/>
      </c>
      <c r="H400" s="4" t="str">
        <f t="shared" si="2"/>
        <v/>
      </c>
    </row>
    <row r="401" ht="15.75" customHeight="1">
      <c r="A401" s="4"/>
      <c r="B401" s="4"/>
      <c r="C401" s="4"/>
      <c r="D401" s="4" t="str">
        <f>IF(A401="","",SUMIF(Anbar_Idxal!G:G,A401,Anbar_Idxal!H:H))</f>
        <v/>
      </c>
      <c r="E401" s="4" t="str">
        <f>IF(A401="","",SUMIF(Satislar!E:E,A401,Satislar!G:G))</f>
        <v/>
      </c>
      <c r="F401" s="4" t="str">
        <f t="shared" si="1"/>
        <v/>
      </c>
      <c r="G401" s="4" t="str">
        <f>IFERROR(VLOOKUP(A401,Mehsullar!A:F,6,FALSE),"")</f>
        <v/>
      </c>
      <c r="H401" s="4" t="str">
        <f t="shared" si="2"/>
        <v/>
      </c>
    </row>
    <row r="402" ht="15.75" customHeight="1">
      <c r="A402" s="4"/>
      <c r="B402" s="4"/>
      <c r="C402" s="4"/>
      <c r="D402" s="4" t="str">
        <f>IF(A402="","",SUMIF(Anbar_Idxal!G:G,A402,Anbar_Idxal!H:H))</f>
        <v/>
      </c>
      <c r="E402" s="4" t="str">
        <f>IF(A402="","",SUMIF(Satislar!E:E,A402,Satislar!G:G))</f>
        <v/>
      </c>
      <c r="F402" s="4" t="str">
        <f t="shared" si="1"/>
        <v/>
      </c>
      <c r="G402" s="4" t="str">
        <f>IFERROR(VLOOKUP(A402,Mehsullar!A:F,6,FALSE),"")</f>
        <v/>
      </c>
      <c r="H402" s="4" t="str">
        <f t="shared" si="2"/>
        <v/>
      </c>
    </row>
    <row r="403" ht="15.75" customHeight="1">
      <c r="A403" s="4"/>
      <c r="B403" s="4"/>
      <c r="C403" s="4"/>
      <c r="D403" s="4" t="str">
        <f>IF(A403="","",SUMIF(Anbar_Idxal!G:G,A403,Anbar_Idxal!H:H))</f>
        <v/>
      </c>
      <c r="E403" s="4" t="str">
        <f>IF(A403="","",SUMIF(Satislar!E:E,A403,Satislar!G:G))</f>
        <v/>
      </c>
      <c r="F403" s="4" t="str">
        <f t="shared" si="1"/>
        <v/>
      </c>
      <c r="G403" s="4" t="str">
        <f>IFERROR(VLOOKUP(A403,Mehsullar!A:F,6,FALSE),"")</f>
        <v/>
      </c>
      <c r="H403" s="4" t="str">
        <f t="shared" si="2"/>
        <v/>
      </c>
    </row>
    <row r="404" ht="15.75" customHeight="1">
      <c r="A404" s="4"/>
      <c r="B404" s="4"/>
      <c r="C404" s="4"/>
      <c r="D404" s="4" t="str">
        <f>IF(A404="","",SUMIF(Anbar_Idxal!G:G,A404,Anbar_Idxal!H:H))</f>
        <v/>
      </c>
      <c r="E404" s="4" t="str">
        <f>IF(A404="","",SUMIF(Satislar!E:E,A404,Satislar!G:G))</f>
        <v/>
      </c>
      <c r="F404" s="4" t="str">
        <f t="shared" si="1"/>
        <v/>
      </c>
      <c r="G404" s="4" t="str">
        <f>IFERROR(VLOOKUP(A404,Mehsullar!A:F,6,FALSE),"")</f>
        <v/>
      </c>
      <c r="H404" s="4" t="str">
        <f t="shared" si="2"/>
        <v/>
      </c>
    </row>
    <row r="405" ht="15.75" customHeight="1">
      <c r="A405" s="4"/>
      <c r="B405" s="4"/>
      <c r="C405" s="4"/>
      <c r="D405" s="4" t="str">
        <f>IF(A405="","",SUMIF(Anbar_Idxal!G:G,A405,Anbar_Idxal!H:H))</f>
        <v/>
      </c>
      <c r="E405" s="4" t="str">
        <f>IF(A405="","",SUMIF(Satislar!E:E,A405,Satislar!G:G))</f>
        <v/>
      </c>
      <c r="F405" s="4" t="str">
        <f t="shared" si="1"/>
        <v/>
      </c>
      <c r="G405" s="4" t="str">
        <f>IFERROR(VLOOKUP(A405,Mehsullar!A:F,6,FALSE),"")</f>
        <v/>
      </c>
      <c r="H405" s="4" t="str">
        <f t="shared" si="2"/>
        <v/>
      </c>
    </row>
    <row r="406" ht="15.75" customHeight="1">
      <c r="A406" s="4"/>
      <c r="B406" s="4"/>
      <c r="C406" s="4"/>
      <c r="D406" s="4" t="str">
        <f>IF(A406="","",SUMIF(Anbar_Idxal!G:G,A406,Anbar_Idxal!H:H))</f>
        <v/>
      </c>
      <c r="E406" s="4" t="str">
        <f>IF(A406="","",SUMIF(Satislar!E:E,A406,Satislar!G:G))</f>
        <v/>
      </c>
      <c r="F406" s="4" t="str">
        <f t="shared" si="1"/>
        <v/>
      </c>
      <c r="G406" s="4" t="str">
        <f>IFERROR(VLOOKUP(A406,Mehsullar!A:F,6,FALSE),"")</f>
        <v/>
      </c>
      <c r="H406" s="4" t="str">
        <f t="shared" si="2"/>
        <v/>
      </c>
    </row>
    <row r="407" ht="15.75" customHeight="1">
      <c r="A407" s="4"/>
      <c r="B407" s="4"/>
      <c r="C407" s="4"/>
      <c r="D407" s="4" t="str">
        <f>IF(A407="","",SUMIF(Anbar_Idxal!G:G,A407,Anbar_Idxal!H:H))</f>
        <v/>
      </c>
      <c r="E407" s="4" t="str">
        <f>IF(A407="","",SUMIF(Satislar!E:E,A407,Satislar!G:G))</f>
        <v/>
      </c>
      <c r="F407" s="4" t="str">
        <f t="shared" si="1"/>
        <v/>
      </c>
      <c r="G407" s="4" t="str">
        <f>IFERROR(VLOOKUP(A407,Mehsullar!A:F,6,FALSE),"")</f>
        <v/>
      </c>
      <c r="H407" s="4" t="str">
        <f t="shared" si="2"/>
        <v/>
      </c>
    </row>
    <row r="408" ht="15.75" customHeight="1">
      <c r="A408" s="4"/>
      <c r="B408" s="4"/>
      <c r="C408" s="4"/>
      <c r="D408" s="4" t="str">
        <f>IF(A408="","",SUMIF(Anbar_Idxal!G:G,A408,Anbar_Idxal!H:H))</f>
        <v/>
      </c>
      <c r="E408" s="4" t="str">
        <f>IF(A408="","",SUMIF(Satislar!E:E,A408,Satislar!G:G))</f>
        <v/>
      </c>
      <c r="F408" s="4" t="str">
        <f t="shared" si="1"/>
        <v/>
      </c>
      <c r="G408" s="4" t="str">
        <f>IFERROR(VLOOKUP(A408,Mehsullar!A:F,6,FALSE),"")</f>
        <v/>
      </c>
      <c r="H408" s="4" t="str">
        <f t="shared" si="2"/>
        <v/>
      </c>
    </row>
    <row r="409" ht="15.75" customHeight="1">
      <c r="A409" s="4"/>
      <c r="B409" s="4"/>
      <c r="C409" s="4"/>
      <c r="D409" s="4" t="str">
        <f>IF(A409="","",SUMIF(Anbar_Idxal!G:G,A409,Anbar_Idxal!H:H))</f>
        <v/>
      </c>
      <c r="E409" s="4" t="str">
        <f>IF(A409="","",SUMIF(Satislar!E:E,A409,Satislar!G:G))</f>
        <v/>
      </c>
      <c r="F409" s="4" t="str">
        <f t="shared" si="1"/>
        <v/>
      </c>
      <c r="G409" s="4" t="str">
        <f>IFERROR(VLOOKUP(A409,Mehsullar!A:F,6,FALSE),"")</f>
        <v/>
      </c>
      <c r="H409" s="4" t="str">
        <f t="shared" si="2"/>
        <v/>
      </c>
    </row>
    <row r="410" ht="15.75" customHeight="1">
      <c r="A410" s="4"/>
      <c r="B410" s="4"/>
      <c r="C410" s="4"/>
      <c r="D410" s="4" t="str">
        <f>IF(A410="","",SUMIF(Anbar_Idxal!G:G,A410,Anbar_Idxal!H:H))</f>
        <v/>
      </c>
      <c r="E410" s="4" t="str">
        <f>IF(A410="","",SUMIF(Satislar!E:E,A410,Satislar!G:G))</f>
        <v/>
      </c>
      <c r="F410" s="4" t="str">
        <f t="shared" si="1"/>
        <v/>
      </c>
      <c r="G410" s="4" t="str">
        <f>IFERROR(VLOOKUP(A410,Mehsullar!A:F,6,FALSE),"")</f>
        <v/>
      </c>
      <c r="H410" s="4" t="str">
        <f t="shared" si="2"/>
        <v/>
      </c>
    </row>
    <row r="411" ht="15.75" customHeight="1">
      <c r="A411" s="4"/>
      <c r="B411" s="4"/>
      <c r="C411" s="4"/>
      <c r="D411" s="4" t="str">
        <f>IF(A411="","",SUMIF(Anbar_Idxal!G:G,A411,Anbar_Idxal!H:H))</f>
        <v/>
      </c>
      <c r="E411" s="4" t="str">
        <f>IF(A411="","",SUMIF(Satislar!E:E,A411,Satislar!G:G))</f>
        <v/>
      </c>
      <c r="F411" s="4" t="str">
        <f t="shared" si="1"/>
        <v/>
      </c>
      <c r="G411" s="4" t="str">
        <f>IFERROR(VLOOKUP(A411,Mehsullar!A:F,6,FALSE),"")</f>
        <v/>
      </c>
      <c r="H411" s="4" t="str">
        <f t="shared" si="2"/>
        <v/>
      </c>
    </row>
    <row r="412" ht="15.75" customHeight="1">
      <c r="A412" s="4"/>
      <c r="B412" s="4"/>
      <c r="C412" s="4"/>
      <c r="D412" s="4" t="str">
        <f>IF(A412="","",SUMIF(Anbar_Idxal!G:G,A412,Anbar_Idxal!H:H))</f>
        <v/>
      </c>
      <c r="E412" s="4" t="str">
        <f>IF(A412="","",SUMIF(Satislar!E:E,A412,Satislar!G:G))</f>
        <v/>
      </c>
      <c r="F412" s="4" t="str">
        <f t="shared" si="1"/>
        <v/>
      </c>
      <c r="G412" s="4" t="str">
        <f>IFERROR(VLOOKUP(A412,Mehsullar!A:F,6,FALSE),"")</f>
        <v/>
      </c>
      <c r="H412" s="4" t="str">
        <f t="shared" si="2"/>
        <v/>
      </c>
    </row>
    <row r="413" ht="15.75" customHeight="1">
      <c r="A413" s="4"/>
      <c r="B413" s="4"/>
      <c r="C413" s="4"/>
      <c r="D413" s="4" t="str">
        <f>IF(A413="","",SUMIF(Anbar_Idxal!G:G,A413,Anbar_Idxal!H:H))</f>
        <v/>
      </c>
      <c r="E413" s="4" t="str">
        <f>IF(A413="","",SUMIF(Satislar!E:E,A413,Satislar!G:G))</f>
        <v/>
      </c>
      <c r="F413" s="4" t="str">
        <f t="shared" si="1"/>
        <v/>
      </c>
      <c r="G413" s="4" t="str">
        <f>IFERROR(VLOOKUP(A413,Mehsullar!A:F,6,FALSE),"")</f>
        <v/>
      </c>
      <c r="H413" s="4" t="str">
        <f t="shared" si="2"/>
        <v/>
      </c>
    </row>
    <row r="414" ht="15.75" customHeight="1">
      <c r="A414" s="4"/>
      <c r="B414" s="4"/>
      <c r="C414" s="4"/>
      <c r="D414" s="4" t="str">
        <f>IF(A414="","",SUMIF(Anbar_Idxal!G:G,A414,Anbar_Idxal!H:H))</f>
        <v/>
      </c>
      <c r="E414" s="4" t="str">
        <f>IF(A414="","",SUMIF(Satislar!E:E,A414,Satislar!G:G))</f>
        <v/>
      </c>
      <c r="F414" s="4" t="str">
        <f t="shared" si="1"/>
        <v/>
      </c>
      <c r="G414" s="4" t="str">
        <f>IFERROR(VLOOKUP(A414,Mehsullar!A:F,6,FALSE),"")</f>
        <v/>
      </c>
      <c r="H414" s="4" t="str">
        <f t="shared" si="2"/>
        <v/>
      </c>
    </row>
    <row r="415" ht="15.75" customHeight="1">
      <c r="A415" s="4"/>
      <c r="B415" s="4"/>
      <c r="C415" s="4"/>
      <c r="D415" s="4" t="str">
        <f>IF(A415="","",SUMIF(Anbar_Idxal!G:G,A415,Anbar_Idxal!H:H))</f>
        <v/>
      </c>
      <c r="E415" s="4" t="str">
        <f>IF(A415="","",SUMIF(Satislar!E:E,A415,Satislar!G:G))</f>
        <v/>
      </c>
      <c r="F415" s="4" t="str">
        <f t="shared" si="1"/>
        <v/>
      </c>
      <c r="G415" s="4" t="str">
        <f>IFERROR(VLOOKUP(A415,Mehsullar!A:F,6,FALSE),"")</f>
        <v/>
      </c>
      <c r="H415" s="4" t="str">
        <f t="shared" si="2"/>
        <v/>
      </c>
    </row>
    <row r="416" ht="15.75" customHeight="1">
      <c r="A416" s="4"/>
      <c r="B416" s="4"/>
      <c r="C416" s="4"/>
      <c r="D416" s="4" t="str">
        <f>IF(A416="","",SUMIF(Anbar_Idxal!G:G,A416,Anbar_Idxal!H:H))</f>
        <v/>
      </c>
      <c r="E416" s="4" t="str">
        <f>IF(A416="","",SUMIF(Satislar!E:E,A416,Satislar!G:G))</f>
        <v/>
      </c>
      <c r="F416" s="4" t="str">
        <f t="shared" si="1"/>
        <v/>
      </c>
      <c r="G416" s="4" t="str">
        <f>IFERROR(VLOOKUP(A416,Mehsullar!A:F,6,FALSE),"")</f>
        <v/>
      </c>
      <c r="H416" s="4" t="str">
        <f t="shared" si="2"/>
        <v/>
      </c>
    </row>
    <row r="417" ht="15.75" customHeight="1">
      <c r="A417" s="4"/>
      <c r="B417" s="4"/>
      <c r="C417" s="4"/>
      <c r="D417" s="4" t="str">
        <f>IF(A417="","",SUMIF(Anbar_Idxal!G:G,A417,Anbar_Idxal!H:H))</f>
        <v/>
      </c>
      <c r="E417" s="4" t="str">
        <f>IF(A417="","",SUMIF(Satislar!E:E,A417,Satislar!G:G))</f>
        <v/>
      </c>
      <c r="F417" s="4" t="str">
        <f t="shared" si="1"/>
        <v/>
      </c>
      <c r="G417" s="4" t="str">
        <f>IFERROR(VLOOKUP(A417,Mehsullar!A:F,6,FALSE),"")</f>
        <v/>
      </c>
      <c r="H417" s="4" t="str">
        <f t="shared" si="2"/>
        <v/>
      </c>
    </row>
    <row r="418" ht="15.75" customHeight="1">
      <c r="A418" s="4"/>
      <c r="B418" s="4"/>
      <c r="C418" s="4"/>
      <c r="D418" s="4" t="str">
        <f>IF(A418="","",SUMIF(Anbar_Idxal!G:G,A418,Anbar_Idxal!H:H))</f>
        <v/>
      </c>
      <c r="E418" s="4" t="str">
        <f>IF(A418="","",SUMIF(Satislar!E:E,A418,Satislar!G:G))</f>
        <v/>
      </c>
      <c r="F418" s="4" t="str">
        <f t="shared" si="1"/>
        <v/>
      </c>
      <c r="G418" s="4" t="str">
        <f>IFERROR(VLOOKUP(A418,Mehsullar!A:F,6,FALSE),"")</f>
        <v/>
      </c>
      <c r="H418" s="4" t="str">
        <f t="shared" si="2"/>
        <v/>
      </c>
    </row>
    <row r="419" ht="15.75" customHeight="1">
      <c r="A419" s="4"/>
      <c r="B419" s="4"/>
      <c r="C419" s="4"/>
      <c r="D419" s="4" t="str">
        <f>IF(A419="","",SUMIF(Anbar_Idxal!G:G,A419,Anbar_Idxal!H:H))</f>
        <v/>
      </c>
      <c r="E419" s="4" t="str">
        <f>IF(A419="","",SUMIF(Satislar!E:E,A419,Satislar!G:G))</f>
        <v/>
      </c>
      <c r="F419" s="4" t="str">
        <f t="shared" si="1"/>
        <v/>
      </c>
      <c r="G419" s="4" t="str">
        <f>IFERROR(VLOOKUP(A419,Mehsullar!A:F,6,FALSE),"")</f>
        <v/>
      </c>
      <c r="H419" s="4" t="str">
        <f t="shared" si="2"/>
        <v/>
      </c>
    </row>
    <row r="420" ht="15.75" customHeight="1">
      <c r="A420" s="4"/>
      <c r="B420" s="4"/>
      <c r="C420" s="4"/>
      <c r="D420" s="4" t="str">
        <f>IF(A420="","",SUMIF(Anbar_Idxal!G:G,A420,Anbar_Idxal!H:H))</f>
        <v/>
      </c>
      <c r="E420" s="4" t="str">
        <f>IF(A420="","",SUMIF(Satislar!E:E,A420,Satislar!G:G))</f>
        <v/>
      </c>
      <c r="F420" s="4" t="str">
        <f t="shared" si="1"/>
        <v/>
      </c>
      <c r="G420" s="4" t="str">
        <f>IFERROR(VLOOKUP(A420,Mehsullar!A:F,6,FALSE),"")</f>
        <v/>
      </c>
      <c r="H420" s="4" t="str">
        <f t="shared" si="2"/>
        <v/>
      </c>
    </row>
    <row r="421" ht="15.75" customHeight="1">
      <c r="A421" s="4"/>
      <c r="B421" s="4"/>
      <c r="C421" s="4"/>
      <c r="D421" s="4" t="str">
        <f>IF(A421="","",SUMIF(Anbar_Idxal!G:G,A421,Anbar_Idxal!H:H))</f>
        <v/>
      </c>
      <c r="E421" s="4" t="str">
        <f>IF(A421="","",SUMIF(Satislar!E:E,A421,Satislar!G:G))</f>
        <v/>
      </c>
      <c r="F421" s="4" t="str">
        <f t="shared" si="1"/>
        <v/>
      </c>
      <c r="G421" s="4" t="str">
        <f>IFERROR(VLOOKUP(A421,Mehsullar!A:F,6,FALSE),"")</f>
        <v/>
      </c>
      <c r="H421" s="4" t="str">
        <f t="shared" si="2"/>
        <v/>
      </c>
    </row>
    <row r="422" ht="15.75" customHeight="1">
      <c r="A422" s="4"/>
      <c r="B422" s="4"/>
      <c r="C422" s="4"/>
      <c r="D422" s="4" t="str">
        <f>IF(A422="","",SUMIF(Anbar_Idxal!G:G,A422,Anbar_Idxal!H:H))</f>
        <v/>
      </c>
      <c r="E422" s="4" t="str">
        <f>IF(A422="","",SUMIF(Satislar!E:E,A422,Satislar!G:G))</f>
        <v/>
      </c>
      <c r="F422" s="4" t="str">
        <f t="shared" si="1"/>
        <v/>
      </c>
      <c r="G422" s="4" t="str">
        <f>IFERROR(VLOOKUP(A422,Mehsullar!A:F,6,FALSE),"")</f>
        <v/>
      </c>
      <c r="H422" s="4" t="str">
        <f t="shared" si="2"/>
        <v/>
      </c>
    </row>
    <row r="423" ht="15.75" customHeight="1">
      <c r="A423" s="4"/>
      <c r="B423" s="4"/>
      <c r="C423" s="4"/>
      <c r="D423" s="4" t="str">
        <f>IF(A423="","",SUMIF(Anbar_Idxal!G:G,A423,Anbar_Idxal!H:H))</f>
        <v/>
      </c>
      <c r="E423" s="4" t="str">
        <f>IF(A423="","",SUMIF(Satislar!E:E,A423,Satislar!G:G))</f>
        <v/>
      </c>
      <c r="F423" s="4" t="str">
        <f t="shared" si="1"/>
        <v/>
      </c>
      <c r="G423" s="4" t="str">
        <f>IFERROR(VLOOKUP(A423,Mehsullar!A:F,6,FALSE),"")</f>
        <v/>
      </c>
      <c r="H423" s="4" t="str">
        <f t="shared" si="2"/>
        <v/>
      </c>
    </row>
    <row r="424" ht="15.75" customHeight="1">
      <c r="A424" s="4"/>
      <c r="B424" s="4"/>
      <c r="C424" s="4"/>
      <c r="D424" s="4" t="str">
        <f>IF(A424="","",SUMIF(Anbar_Idxal!G:G,A424,Anbar_Idxal!H:H))</f>
        <v/>
      </c>
      <c r="E424" s="4" t="str">
        <f>IF(A424="","",SUMIF(Satislar!E:E,A424,Satislar!G:G))</f>
        <v/>
      </c>
      <c r="F424" s="4" t="str">
        <f t="shared" si="1"/>
        <v/>
      </c>
      <c r="G424" s="4" t="str">
        <f>IFERROR(VLOOKUP(A424,Mehsullar!A:F,6,FALSE),"")</f>
        <v/>
      </c>
      <c r="H424" s="4" t="str">
        <f t="shared" si="2"/>
        <v/>
      </c>
    </row>
    <row r="425" ht="15.75" customHeight="1">
      <c r="A425" s="4"/>
      <c r="B425" s="4"/>
      <c r="C425" s="4"/>
      <c r="D425" s="4" t="str">
        <f>IF(A425="","",SUMIF(Anbar_Idxal!G:G,A425,Anbar_Idxal!H:H))</f>
        <v/>
      </c>
      <c r="E425" s="4" t="str">
        <f>IF(A425="","",SUMIF(Satislar!E:E,A425,Satislar!G:G))</f>
        <v/>
      </c>
      <c r="F425" s="4" t="str">
        <f t="shared" si="1"/>
        <v/>
      </c>
      <c r="G425" s="4" t="str">
        <f>IFERROR(VLOOKUP(A425,Mehsullar!A:F,6,FALSE),"")</f>
        <v/>
      </c>
      <c r="H425" s="4" t="str">
        <f t="shared" si="2"/>
        <v/>
      </c>
    </row>
    <row r="426" ht="15.75" customHeight="1">
      <c r="A426" s="4"/>
      <c r="B426" s="4"/>
      <c r="C426" s="4"/>
      <c r="D426" s="4" t="str">
        <f>IF(A426="","",SUMIF(Anbar_Idxal!G:G,A426,Anbar_Idxal!H:H))</f>
        <v/>
      </c>
      <c r="E426" s="4" t="str">
        <f>IF(A426="","",SUMIF(Satislar!E:E,A426,Satislar!G:G))</f>
        <v/>
      </c>
      <c r="F426" s="4" t="str">
        <f t="shared" si="1"/>
        <v/>
      </c>
      <c r="G426" s="4" t="str">
        <f>IFERROR(VLOOKUP(A426,Mehsullar!A:F,6,FALSE),"")</f>
        <v/>
      </c>
      <c r="H426" s="4" t="str">
        <f t="shared" si="2"/>
        <v/>
      </c>
    </row>
    <row r="427" ht="15.75" customHeight="1">
      <c r="A427" s="4"/>
      <c r="B427" s="4"/>
      <c r="C427" s="4"/>
      <c r="D427" s="4" t="str">
        <f>IF(A427="","",SUMIF(Anbar_Idxal!G:G,A427,Anbar_Idxal!H:H))</f>
        <v/>
      </c>
      <c r="E427" s="4" t="str">
        <f>IF(A427="","",SUMIF(Satislar!E:E,A427,Satislar!G:G))</f>
        <v/>
      </c>
      <c r="F427" s="4" t="str">
        <f t="shared" si="1"/>
        <v/>
      </c>
      <c r="G427" s="4" t="str">
        <f>IFERROR(VLOOKUP(A427,Mehsullar!A:F,6,FALSE),"")</f>
        <v/>
      </c>
      <c r="H427" s="4" t="str">
        <f t="shared" si="2"/>
        <v/>
      </c>
    </row>
    <row r="428" ht="15.75" customHeight="1">
      <c r="A428" s="4"/>
      <c r="B428" s="4"/>
      <c r="C428" s="4"/>
      <c r="D428" s="4" t="str">
        <f>IF(A428="","",SUMIF(Anbar_Idxal!G:G,A428,Anbar_Idxal!H:H))</f>
        <v/>
      </c>
      <c r="E428" s="4" t="str">
        <f>IF(A428="","",SUMIF(Satislar!E:E,A428,Satislar!G:G))</f>
        <v/>
      </c>
      <c r="F428" s="4" t="str">
        <f t="shared" si="1"/>
        <v/>
      </c>
      <c r="G428" s="4" t="str">
        <f>IFERROR(VLOOKUP(A428,Mehsullar!A:F,6,FALSE),"")</f>
        <v/>
      </c>
      <c r="H428" s="4" t="str">
        <f t="shared" si="2"/>
        <v/>
      </c>
    </row>
    <row r="429" ht="15.75" customHeight="1">
      <c r="A429" s="4"/>
      <c r="B429" s="4"/>
      <c r="C429" s="4"/>
      <c r="D429" s="4" t="str">
        <f>IF(A429="","",SUMIF(Anbar_Idxal!G:G,A429,Anbar_Idxal!H:H))</f>
        <v/>
      </c>
      <c r="E429" s="4" t="str">
        <f>IF(A429="","",SUMIF(Satislar!E:E,A429,Satislar!G:G))</f>
        <v/>
      </c>
      <c r="F429" s="4" t="str">
        <f t="shared" si="1"/>
        <v/>
      </c>
      <c r="G429" s="4" t="str">
        <f>IFERROR(VLOOKUP(A429,Mehsullar!A:F,6,FALSE),"")</f>
        <v/>
      </c>
      <c r="H429" s="4" t="str">
        <f t="shared" si="2"/>
        <v/>
      </c>
    </row>
    <row r="430" ht="15.75" customHeight="1">
      <c r="A430" s="4"/>
      <c r="B430" s="4"/>
      <c r="C430" s="4"/>
      <c r="D430" s="4" t="str">
        <f>IF(A430="","",SUMIF(Anbar_Idxal!G:G,A430,Anbar_Idxal!H:H))</f>
        <v/>
      </c>
      <c r="E430" s="4" t="str">
        <f>IF(A430="","",SUMIF(Satislar!E:E,A430,Satislar!G:G))</f>
        <v/>
      </c>
      <c r="F430" s="4" t="str">
        <f t="shared" si="1"/>
        <v/>
      </c>
      <c r="G430" s="4" t="str">
        <f>IFERROR(VLOOKUP(A430,Mehsullar!A:F,6,FALSE),"")</f>
        <v/>
      </c>
      <c r="H430" s="4" t="str">
        <f t="shared" si="2"/>
        <v/>
      </c>
    </row>
    <row r="431" ht="15.75" customHeight="1">
      <c r="A431" s="4"/>
      <c r="B431" s="4"/>
      <c r="C431" s="4"/>
      <c r="D431" s="4" t="str">
        <f>IF(A431="","",SUMIF(Anbar_Idxal!G:G,A431,Anbar_Idxal!H:H))</f>
        <v/>
      </c>
      <c r="E431" s="4" t="str">
        <f>IF(A431="","",SUMIF(Satislar!E:E,A431,Satislar!G:G))</f>
        <v/>
      </c>
      <c r="F431" s="4" t="str">
        <f t="shared" si="1"/>
        <v/>
      </c>
      <c r="G431" s="4" t="str">
        <f>IFERROR(VLOOKUP(A431,Mehsullar!A:F,6,FALSE),"")</f>
        <v/>
      </c>
      <c r="H431" s="4" t="str">
        <f t="shared" si="2"/>
        <v/>
      </c>
    </row>
    <row r="432" ht="15.75" customHeight="1">
      <c r="A432" s="4"/>
      <c r="B432" s="4"/>
      <c r="C432" s="4"/>
      <c r="D432" s="4" t="str">
        <f>IF(A432="","",SUMIF(Anbar_Idxal!G:G,A432,Anbar_Idxal!H:H))</f>
        <v/>
      </c>
      <c r="E432" s="4" t="str">
        <f>IF(A432="","",SUMIF(Satislar!E:E,A432,Satislar!G:G))</f>
        <v/>
      </c>
      <c r="F432" s="4" t="str">
        <f t="shared" si="1"/>
        <v/>
      </c>
      <c r="G432" s="4" t="str">
        <f>IFERROR(VLOOKUP(A432,Mehsullar!A:F,6,FALSE),"")</f>
        <v/>
      </c>
      <c r="H432" s="4" t="str">
        <f t="shared" si="2"/>
        <v/>
      </c>
    </row>
    <row r="433" ht="15.75" customHeight="1">
      <c r="A433" s="4"/>
      <c r="B433" s="4"/>
      <c r="C433" s="4"/>
      <c r="D433" s="4" t="str">
        <f>IF(A433="","",SUMIF(Anbar_Idxal!G:G,A433,Anbar_Idxal!H:H))</f>
        <v/>
      </c>
      <c r="E433" s="4" t="str">
        <f>IF(A433="","",SUMIF(Satislar!E:E,A433,Satislar!G:G))</f>
        <v/>
      </c>
      <c r="F433" s="4" t="str">
        <f t="shared" si="1"/>
        <v/>
      </c>
      <c r="G433" s="4" t="str">
        <f>IFERROR(VLOOKUP(A433,Mehsullar!A:F,6,FALSE),"")</f>
        <v/>
      </c>
      <c r="H433" s="4" t="str">
        <f t="shared" si="2"/>
        <v/>
      </c>
    </row>
    <row r="434" ht="15.75" customHeight="1">
      <c r="A434" s="4"/>
      <c r="B434" s="4"/>
      <c r="C434" s="4"/>
      <c r="D434" s="4" t="str">
        <f>IF(A434="","",SUMIF(Anbar_Idxal!G:G,A434,Anbar_Idxal!H:H))</f>
        <v/>
      </c>
      <c r="E434" s="4" t="str">
        <f>IF(A434="","",SUMIF(Satislar!E:E,A434,Satislar!G:G))</f>
        <v/>
      </c>
      <c r="F434" s="4" t="str">
        <f t="shared" si="1"/>
        <v/>
      </c>
      <c r="G434" s="4" t="str">
        <f>IFERROR(VLOOKUP(A434,Mehsullar!A:F,6,FALSE),"")</f>
        <v/>
      </c>
      <c r="H434" s="4" t="str">
        <f t="shared" si="2"/>
        <v/>
      </c>
    </row>
    <row r="435" ht="15.75" customHeight="1">
      <c r="A435" s="4"/>
      <c r="B435" s="4"/>
      <c r="C435" s="4"/>
      <c r="D435" s="4" t="str">
        <f>IF(A435="","",SUMIF(Anbar_Idxal!G:G,A435,Anbar_Idxal!H:H))</f>
        <v/>
      </c>
      <c r="E435" s="4" t="str">
        <f>IF(A435="","",SUMIF(Satislar!E:E,A435,Satislar!G:G))</f>
        <v/>
      </c>
      <c r="F435" s="4" t="str">
        <f t="shared" si="1"/>
        <v/>
      </c>
      <c r="G435" s="4" t="str">
        <f>IFERROR(VLOOKUP(A435,Mehsullar!A:F,6,FALSE),"")</f>
        <v/>
      </c>
      <c r="H435" s="4" t="str">
        <f t="shared" si="2"/>
        <v/>
      </c>
    </row>
    <row r="436" ht="15.75" customHeight="1">
      <c r="A436" s="4"/>
      <c r="B436" s="4"/>
      <c r="C436" s="4"/>
      <c r="D436" s="4" t="str">
        <f>IF(A436="","",SUMIF(Anbar_Idxal!G:G,A436,Anbar_Idxal!H:H))</f>
        <v/>
      </c>
      <c r="E436" s="4" t="str">
        <f>IF(A436="","",SUMIF(Satislar!E:E,A436,Satislar!G:G))</f>
        <v/>
      </c>
      <c r="F436" s="4" t="str">
        <f t="shared" si="1"/>
        <v/>
      </c>
      <c r="G436" s="4" t="str">
        <f>IFERROR(VLOOKUP(A436,Mehsullar!A:F,6,FALSE),"")</f>
        <v/>
      </c>
      <c r="H436" s="4" t="str">
        <f t="shared" si="2"/>
        <v/>
      </c>
    </row>
    <row r="437" ht="15.75" customHeight="1">
      <c r="A437" s="4"/>
      <c r="B437" s="4"/>
      <c r="C437" s="4"/>
      <c r="D437" s="4" t="str">
        <f>IF(A437="","",SUMIF(Anbar_Idxal!G:G,A437,Anbar_Idxal!H:H))</f>
        <v/>
      </c>
      <c r="E437" s="4" t="str">
        <f>IF(A437="","",SUMIF(Satislar!E:E,A437,Satislar!G:G))</f>
        <v/>
      </c>
      <c r="F437" s="4" t="str">
        <f t="shared" si="1"/>
        <v/>
      </c>
      <c r="G437" s="4" t="str">
        <f>IFERROR(VLOOKUP(A437,Mehsullar!A:F,6,FALSE),"")</f>
        <v/>
      </c>
      <c r="H437" s="4" t="str">
        <f t="shared" si="2"/>
        <v/>
      </c>
    </row>
    <row r="438" ht="15.75" customHeight="1">
      <c r="A438" s="4"/>
      <c r="B438" s="4"/>
      <c r="C438" s="4"/>
      <c r="D438" s="4" t="str">
        <f>IF(A438="","",SUMIF(Anbar_Idxal!G:G,A438,Anbar_Idxal!H:H))</f>
        <v/>
      </c>
      <c r="E438" s="4" t="str">
        <f>IF(A438="","",SUMIF(Satislar!E:E,A438,Satislar!G:G))</f>
        <v/>
      </c>
      <c r="F438" s="4" t="str">
        <f t="shared" si="1"/>
        <v/>
      </c>
      <c r="G438" s="4" t="str">
        <f>IFERROR(VLOOKUP(A438,Mehsullar!A:F,6,FALSE),"")</f>
        <v/>
      </c>
      <c r="H438" s="4" t="str">
        <f t="shared" si="2"/>
        <v/>
      </c>
    </row>
    <row r="439" ht="15.75" customHeight="1">
      <c r="A439" s="4"/>
      <c r="B439" s="4"/>
      <c r="C439" s="4"/>
      <c r="D439" s="4" t="str">
        <f>IF(A439="","",SUMIF(Anbar_Idxal!G:G,A439,Anbar_Idxal!H:H))</f>
        <v/>
      </c>
      <c r="E439" s="4" t="str">
        <f>IF(A439="","",SUMIF(Satislar!E:E,A439,Satislar!G:G))</f>
        <v/>
      </c>
      <c r="F439" s="4" t="str">
        <f t="shared" si="1"/>
        <v/>
      </c>
      <c r="G439" s="4" t="str">
        <f>IFERROR(VLOOKUP(A439,Mehsullar!A:F,6,FALSE),"")</f>
        <v/>
      </c>
      <c r="H439" s="4" t="str">
        <f t="shared" si="2"/>
        <v/>
      </c>
    </row>
    <row r="440" ht="15.75" customHeight="1">
      <c r="A440" s="4"/>
      <c r="B440" s="4"/>
      <c r="C440" s="4"/>
      <c r="D440" s="4" t="str">
        <f>IF(A440="","",SUMIF(Anbar_Idxal!G:G,A440,Anbar_Idxal!H:H))</f>
        <v/>
      </c>
      <c r="E440" s="4" t="str">
        <f>IF(A440="","",SUMIF(Satislar!E:E,A440,Satislar!G:G))</f>
        <v/>
      </c>
      <c r="F440" s="4" t="str">
        <f t="shared" si="1"/>
        <v/>
      </c>
      <c r="G440" s="4" t="str">
        <f>IFERROR(VLOOKUP(A440,Mehsullar!A:F,6,FALSE),"")</f>
        <v/>
      </c>
      <c r="H440" s="4" t="str">
        <f t="shared" si="2"/>
        <v/>
      </c>
    </row>
    <row r="441" ht="15.75" customHeight="1">
      <c r="A441" s="4"/>
      <c r="B441" s="4"/>
      <c r="C441" s="4"/>
      <c r="D441" s="4" t="str">
        <f>IF(A441="","",SUMIF(Anbar_Idxal!G:G,A441,Anbar_Idxal!H:H))</f>
        <v/>
      </c>
      <c r="E441" s="4" t="str">
        <f>IF(A441="","",SUMIF(Satislar!E:E,A441,Satislar!G:G))</f>
        <v/>
      </c>
      <c r="F441" s="4" t="str">
        <f t="shared" si="1"/>
        <v/>
      </c>
      <c r="G441" s="4" t="str">
        <f>IFERROR(VLOOKUP(A441,Mehsullar!A:F,6,FALSE),"")</f>
        <v/>
      </c>
      <c r="H441" s="4" t="str">
        <f t="shared" si="2"/>
        <v/>
      </c>
    </row>
    <row r="442" ht="15.75" customHeight="1">
      <c r="A442" s="4"/>
      <c r="B442" s="4"/>
      <c r="C442" s="4"/>
      <c r="D442" s="4" t="str">
        <f>IF(A442="","",SUMIF(Anbar_Idxal!G:G,A442,Anbar_Idxal!H:H))</f>
        <v/>
      </c>
      <c r="E442" s="4" t="str">
        <f>IF(A442="","",SUMIF(Satislar!E:E,A442,Satislar!G:G))</f>
        <v/>
      </c>
      <c r="F442" s="4" t="str">
        <f t="shared" si="1"/>
        <v/>
      </c>
      <c r="G442" s="4" t="str">
        <f>IFERROR(VLOOKUP(A442,Mehsullar!A:F,6,FALSE),"")</f>
        <v/>
      </c>
      <c r="H442" s="4" t="str">
        <f t="shared" si="2"/>
        <v/>
      </c>
    </row>
    <row r="443" ht="15.75" customHeight="1">
      <c r="A443" s="4"/>
      <c r="B443" s="4"/>
      <c r="C443" s="4"/>
      <c r="D443" s="4" t="str">
        <f>IF(A443="","",SUMIF(Anbar_Idxal!G:G,A443,Anbar_Idxal!H:H))</f>
        <v/>
      </c>
      <c r="E443" s="4" t="str">
        <f>IF(A443="","",SUMIF(Satislar!E:E,A443,Satislar!G:G))</f>
        <v/>
      </c>
      <c r="F443" s="4" t="str">
        <f t="shared" si="1"/>
        <v/>
      </c>
      <c r="G443" s="4" t="str">
        <f>IFERROR(VLOOKUP(A443,Mehsullar!A:F,6,FALSE),"")</f>
        <v/>
      </c>
      <c r="H443" s="4" t="str">
        <f t="shared" si="2"/>
        <v/>
      </c>
    </row>
    <row r="444" ht="15.75" customHeight="1">
      <c r="A444" s="4"/>
      <c r="B444" s="4"/>
      <c r="C444" s="4"/>
      <c r="D444" s="4" t="str">
        <f>IF(A444="","",SUMIF(Anbar_Idxal!G:G,A444,Anbar_Idxal!H:H))</f>
        <v/>
      </c>
      <c r="E444" s="4" t="str">
        <f>IF(A444="","",SUMIF(Satislar!E:E,A444,Satislar!G:G))</f>
        <v/>
      </c>
      <c r="F444" s="4" t="str">
        <f t="shared" si="1"/>
        <v/>
      </c>
      <c r="G444" s="4" t="str">
        <f>IFERROR(VLOOKUP(A444,Mehsullar!A:F,6,FALSE),"")</f>
        <v/>
      </c>
      <c r="H444" s="4" t="str">
        <f t="shared" si="2"/>
        <v/>
      </c>
    </row>
    <row r="445" ht="15.75" customHeight="1">
      <c r="A445" s="4"/>
      <c r="B445" s="4"/>
      <c r="C445" s="4"/>
      <c r="D445" s="4" t="str">
        <f>IF(A445="","",SUMIF(Anbar_Idxal!G:G,A445,Anbar_Idxal!H:H))</f>
        <v/>
      </c>
      <c r="E445" s="4" t="str">
        <f>IF(A445="","",SUMIF(Satislar!E:E,A445,Satislar!G:G))</f>
        <v/>
      </c>
      <c r="F445" s="4" t="str">
        <f t="shared" si="1"/>
        <v/>
      </c>
      <c r="G445" s="4" t="str">
        <f>IFERROR(VLOOKUP(A445,Mehsullar!A:F,6,FALSE),"")</f>
        <v/>
      </c>
      <c r="H445" s="4" t="str">
        <f t="shared" si="2"/>
        <v/>
      </c>
    </row>
    <row r="446" ht="15.75" customHeight="1">
      <c r="A446" s="4"/>
      <c r="B446" s="4"/>
      <c r="C446" s="4"/>
      <c r="D446" s="4" t="str">
        <f>IF(A446="","",SUMIF(Anbar_Idxal!G:G,A446,Anbar_Idxal!H:H))</f>
        <v/>
      </c>
      <c r="E446" s="4" t="str">
        <f>IF(A446="","",SUMIF(Satislar!E:E,A446,Satislar!G:G))</f>
        <v/>
      </c>
      <c r="F446" s="4" t="str">
        <f t="shared" si="1"/>
        <v/>
      </c>
      <c r="G446" s="4" t="str">
        <f>IFERROR(VLOOKUP(A446,Mehsullar!A:F,6,FALSE),"")</f>
        <v/>
      </c>
      <c r="H446" s="4" t="str">
        <f t="shared" si="2"/>
        <v/>
      </c>
    </row>
    <row r="447" ht="15.75" customHeight="1">
      <c r="A447" s="4"/>
      <c r="B447" s="4"/>
      <c r="C447" s="4"/>
      <c r="D447" s="4" t="str">
        <f>IF(A447="","",SUMIF(Anbar_Idxal!G:G,A447,Anbar_Idxal!H:H))</f>
        <v/>
      </c>
      <c r="E447" s="4" t="str">
        <f>IF(A447="","",SUMIF(Satislar!E:E,A447,Satislar!G:G))</f>
        <v/>
      </c>
      <c r="F447" s="4" t="str">
        <f t="shared" si="1"/>
        <v/>
      </c>
      <c r="G447" s="4" t="str">
        <f>IFERROR(VLOOKUP(A447,Mehsullar!A:F,6,FALSE),"")</f>
        <v/>
      </c>
      <c r="H447" s="4" t="str">
        <f t="shared" si="2"/>
        <v/>
      </c>
    </row>
    <row r="448" ht="15.75" customHeight="1">
      <c r="A448" s="4"/>
      <c r="B448" s="4"/>
      <c r="C448" s="4"/>
      <c r="D448" s="4" t="str">
        <f>IF(A448="","",SUMIF(Anbar_Idxal!G:G,A448,Anbar_Idxal!H:H))</f>
        <v/>
      </c>
      <c r="E448" s="4" t="str">
        <f>IF(A448="","",SUMIF(Satislar!E:E,A448,Satislar!G:G))</f>
        <v/>
      </c>
      <c r="F448" s="4" t="str">
        <f t="shared" si="1"/>
        <v/>
      </c>
      <c r="G448" s="4" t="str">
        <f>IFERROR(VLOOKUP(A448,Mehsullar!A:F,6,FALSE),"")</f>
        <v/>
      </c>
      <c r="H448" s="4" t="str">
        <f t="shared" si="2"/>
        <v/>
      </c>
    </row>
    <row r="449" ht="15.75" customHeight="1">
      <c r="A449" s="4"/>
      <c r="B449" s="4"/>
      <c r="C449" s="4"/>
      <c r="D449" s="4" t="str">
        <f>IF(A449="","",SUMIF(Anbar_Idxal!G:G,A449,Anbar_Idxal!H:H))</f>
        <v/>
      </c>
      <c r="E449" s="4" t="str">
        <f>IF(A449="","",SUMIF(Satislar!E:E,A449,Satislar!G:G))</f>
        <v/>
      </c>
      <c r="F449" s="4" t="str">
        <f t="shared" si="1"/>
        <v/>
      </c>
      <c r="G449" s="4" t="str">
        <f>IFERROR(VLOOKUP(A449,Mehsullar!A:F,6,FALSE),"")</f>
        <v/>
      </c>
      <c r="H449" s="4" t="str">
        <f t="shared" si="2"/>
        <v/>
      </c>
    </row>
    <row r="450" ht="15.75" customHeight="1">
      <c r="A450" s="4"/>
      <c r="B450" s="4"/>
      <c r="C450" s="4"/>
      <c r="D450" s="4" t="str">
        <f>IF(A450="","",SUMIF(Anbar_Idxal!G:G,A450,Anbar_Idxal!H:H))</f>
        <v/>
      </c>
      <c r="E450" s="4" t="str">
        <f>IF(A450="","",SUMIF(Satislar!E:E,A450,Satislar!G:G))</f>
        <v/>
      </c>
      <c r="F450" s="4" t="str">
        <f t="shared" si="1"/>
        <v/>
      </c>
      <c r="G450" s="4" t="str">
        <f>IFERROR(VLOOKUP(A450,Mehsullar!A:F,6,FALSE),"")</f>
        <v/>
      </c>
      <c r="H450" s="4" t="str">
        <f t="shared" si="2"/>
        <v/>
      </c>
    </row>
    <row r="451" ht="15.75" customHeight="1">
      <c r="A451" s="4"/>
      <c r="B451" s="4"/>
      <c r="C451" s="4"/>
      <c r="D451" s="4" t="str">
        <f>IF(A451="","",SUMIF(Anbar_Idxal!G:G,A451,Anbar_Idxal!H:H))</f>
        <v/>
      </c>
      <c r="E451" s="4" t="str">
        <f>IF(A451="","",SUMIF(Satislar!E:E,A451,Satislar!G:G))</f>
        <v/>
      </c>
      <c r="F451" s="4" t="str">
        <f t="shared" si="1"/>
        <v/>
      </c>
      <c r="G451" s="4" t="str">
        <f>IFERROR(VLOOKUP(A451,Mehsullar!A:F,6,FALSE),"")</f>
        <v/>
      </c>
      <c r="H451" s="4" t="str">
        <f t="shared" si="2"/>
        <v/>
      </c>
    </row>
    <row r="452" ht="15.75" customHeight="1">
      <c r="A452" s="4"/>
      <c r="B452" s="4"/>
      <c r="C452" s="4"/>
      <c r="D452" s="4" t="str">
        <f>IF(A452="","",SUMIF(Anbar_Idxal!G:G,A452,Anbar_Idxal!H:H))</f>
        <v/>
      </c>
      <c r="E452" s="4" t="str">
        <f>IF(A452="","",SUMIF(Satislar!E:E,A452,Satislar!G:G))</f>
        <v/>
      </c>
      <c r="F452" s="4" t="str">
        <f t="shared" si="1"/>
        <v/>
      </c>
      <c r="G452" s="4" t="str">
        <f>IFERROR(VLOOKUP(A452,Mehsullar!A:F,6,FALSE),"")</f>
        <v/>
      </c>
      <c r="H452" s="4" t="str">
        <f t="shared" si="2"/>
        <v/>
      </c>
    </row>
    <row r="453" ht="15.75" customHeight="1">
      <c r="A453" s="4"/>
      <c r="B453" s="4"/>
      <c r="C453" s="4"/>
      <c r="D453" s="4" t="str">
        <f>IF(A453="","",SUMIF(Anbar_Idxal!G:G,A453,Anbar_Idxal!H:H))</f>
        <v/>
      </c>
      <c r="E453" s="4" t="str">
        <f>IF(A453="","",SUMIF(Satislar!E:E,A453,Satislar!G:G))</f>
        <v/>
      </c>
      <c r="F453" s="4" t="str">
        <f t="shared" si="1"/>
        <v/>
      </c>
      <c r="G453" s="4" t="str">
        <f>IFERROR(VLOOKUP(A453,Mehsullar!A:F,6,FALSE),"")</f>
        <v/>
      </c>
      <c r="H453" s="4" t="str">
        <f t="shared" si="2"/>
        <v/>
      </c>
    </row>
    <row r="454" ht="15.75" customHeight="1">
      <c r="A454" s="4"/>
      <c r="B454" s="4"/>
      <c r="C454" s="4"/>
      <c r="D454" s="4" t="str">
        <f>IF(A454="","",SUMIF(Anbar_Idxal!G:G,A454,Anbar_Idxal!H:H))</f>
        <v/>
      </c>
      <c r="E454" s="4" t="str">
        <f>IF(A454="","",SUMIF(Satislar!E:E,A454,Satislar!G:G))</f>
        <v/>
      </c>
      <c r="F454" s="4" t="str">
        <f t="shared" si="1"/>
        <v/>
      </c>
      <c r="G454" s="4" t="str">
        <f>IFERROR(VLOOKUP(A454,Mehsullar!A:F,6,FALSE),"")</f>
        <v/>
      </c>
      <c r="H454" s="4" t="str">
        <f t="shared" si="2"/>
        <v/>
      </c>
    </row>
    <row r="455" ht="15.75" customHeight="1">
      <c r="A455" s="4"/>
      <c r="B455" s="4"/>
      <c r="C455" s="4"/>
      <c r="D455" s="4" t="str">
        <f>IF(A455="","",SUMIF(Anbar_Idxal!G:G,A455,Anbar_Idxal!H:H))</f>
        <v/>
      </c>
      <c r="E455" s="4" t="str">
        <f>IF(A455="","",SUMIF(Satislar!E:E,A455,Satislar!G:G))</f>
        <v/>
      </c>
      <c r="F455" s="4" t="str">
        <f t="shared" si="1"/>
        <v/>
      </c>
      <c r="G455" s="4" t="str">
        <f>IFERROR(VLOOKUP(A455,Mehsullar!A:F,6,FALSE),"")</f>
        <v/>
      </c>
      <c r="H455" s="4" t="str">
        <f t="shared" si="2"/>
        <v/>
      </c>
    </row>
    <row r="456" ht="15.75" customHeight="1">
      <c r="A456" s="4"/>
      <c r="B456" s="4"/>
      <c r="C456" s="4"/>
      <c r="D456" s="4" t="str">
        <f>IF(A456="","",SUMIF(Anbar_Idxal!G:G,A456,Anbar_Idxal!H:H))</f>
        <v/>
      </c>
      <c r="E456" s="4" t="str">
        <f>IF(A456="","",SUMIF(Satislar!E:E,A456,Satislar!G:G))</f>
        <v/>
      </c>
      <c r="F456" s="4" t="str">
        <f t="shared" si="1"/>
        <v/>
      </c>
      <c r="G456" s="4" t="str">
        <f>IFERROR(VLOOKUP(A456,Mehsullar!A:F,6,FALSE),"")</f>
        <v/>
      </c>
      <c r="H456" s="4" t="str">
        <f t="shared" si="2"/>
        <v/>
      </c>
    </row>
    <row r="457" ht="15.75" customHeight="1">
      <c r="A457" s="4"/>
      <c r="B457" s="4"/>
      <c r="C457" s="4"/>
      <c r="D457" s="4" t="str">
        <f>IF(A457="","",SUMIF(Anbar_Idxal!G:G,A457,Anbar_Idxal!H:H))</f>
        <v/>
      </c>
      <c r="E457" s="4" t="str">
        <f>IF(A457="","",SUMIF(Satislar!E:E,A457,Satislar!G:G))</f>
        <v/>
      </c>
      <c r="F457" s="4" t="str">
        <f t="shared" si="1"/>
        <v/>
      </c>
      <c r="G457" s="4" t="str">
        <f>IFERROR(VLOOKUP(A457,Mehsullar!A:F,6,FALSE),"")</f>
        <v/>
      </c>
      <c r="H457" s="4" t="str">
        <f t="shared" si="2"/>
        <v/>
      </c>
    </row>
    <row r="458" ht="15.75" customHeight="1">
      <c r="A458" s="4"/>
      <c r="B458" s="4"/>
      <c r="C458" s="4"/>
      <c r="D458" s="4" t="str">
        <f>IF(A458="","",SUMIF(Anbar_Idxal!G:G,A458,Anbar_Idxal!H:H))</f>
        <v/>
      </c>
      <c r="E458" s="4" t="str">
        <f>IF(A458="","",SUMIF(Satislar!E:E,A458,Satislar!G:G))</f>
        <v/>
      </c>
      <c r="F458" s="4" t="str">
        <f t="shared" si="1"/>
        <v/>
      </c>
      <c r="G458" s="4" t="str">
        <f>IFERROR(VLOOKUP(A458,Mehsullar!A:F,6,FALSE),"")</f>
        <v/>
      </c>
      <c r="H458" s="4" t="str">
        <f t="shared" si="2"/>
        <v/>
      </c>
    </row>
    <row r="459" ht="15.75" customHeight="1">
      <c r="A459" s="4"/>
      <c r="B459" s="4"/>
      <c r="C459" s="4"/>
      <c r="D459" s="4" t="str">
        <f>IF(A459="","",SUMIF(Anbar_Idxal!G:G,A459,Anbar_Idxal!H:H))</f>
        <v/>
      </c>
      <c r="E459" s="4" t="str">
        <f>IF(A459="","",SUMIF(Satislar!E:E,A459,Satislar!G:G))</f>
        <v/>
      </c>
      <c r="F459" s="4" t="str">
        <f t="shared" si="1"/>
        <v/>
      </c>
      <c r="G459" s="4" t="str">
        <f>IFERROR(VLOOKUP(A459,Mehsullar!A:F,6,FALSE),"")</f>
        <v/>
      </c>
      <c r="H459" s="4" t="str">
        <f t="shared" si="2"/>
        <v/>
      </c>
    </row>
    <row r="460" ht="15.75" customHeight="1">
      <c r="A460" s="4"/>
      <c r="B460" s="4"/>
      <c r="C460" s="4"/>
      <c r="D460" s="4" t="str">
        <f>IF(A460="","",SUMIF(Anbar_Idxal!G:G,A460,Anbar_Idxal!H:H))</f>
        <v/>
      </c>
      <c r="E460" s="4" t="str">
        <f>IF(A460="","",SUMIF(Satislar!E:E,A460,Satislar!G:G))</f>
        <v/>
      </c>
      <c r="F460" s="4" t="str">
        <f t="shared" si="1"/>
        <v/>
      </c>
      <c r="G460" s="4" t="str">
        <f>IFERROR(VLOOKUP(A460,Mehsullar!A:F,6,FALSE),"")</f>
        <v/>
      </c>
      <c r="H460" s="4" t="str">
        <f t="shared" si="2"/>
        <v/>
      </c>
    </row>
    <row r="461" ht="15.75" customHeight="1">
      <c r="A461" s="4"/>
      <c r="B461" s="4"/>
      <c r="C461" s="4"/>
      <c r="D461" s="4" t="str">
        <f>IF(A461="","",SUMIF(Anbar_Idxal!G:G,A461,Anbar_Idxal!H:H))</f>
        <v/>
      </c>
      <c r="E461" s="4" t="str">
        <f>IF(A461="","",SUMIF(Satislar!E:E,A461,Satislar!G:G))</f>
        <v/>
      </c>
      <c r="F461" s="4" t="str">
        <f t="shared" si="1"/>
        <v/>
      </c>
      <c r="G461" s="4" t="str">
        <f>IFERROR(VLOOKUP(A461,Mehsullar!A:F,6,FALSE),"")</f>
        <v/>
      </c>
      <c r="H461" s="4" t="str">
        <f t="shared" si="2"/>
        <v/>
      </c>
    </row>
    <row r="462" ht="15.75" customHeight="1">
      <c r="A462" s="4"/>
      <c r="B462" s="4"/>
      <c r="C462" s="4"/>
      <c r="D462" s="4" t="str">
        <f>IF(A462="","",SUMIF(Anbar_Idxal!G:G,A462,Anbar_Idxal!H:H))</f>
        <v/>
      </c>
      <c r="E462" s="4" t="str">
        <f>IF(A462="","",SUMIF(Satislar!E:E,A462,Satislar!G:G))</f>
        <v/>
      </c>
      <c r="F462" s="4" t="str">
        <f t="shared" si="1"/>
        <v/>
      </c>
      <c r="G462" s="4" t="str">
        <f>IFERROR(VLOOKUP(A462,Mehsullar!A:F,6,FALSE),"")</f>
        <v/>
      </c>
      <c r="H462" s="4" t="str">
        <f t="shared" si="2"/>
        <v/>
      </c>
    </row>
    <row r="463" ht="15.75" customHeight="1">
      <c r="A463" s="4"/>
      <c r="B463" s="4"/>
      <c r="C463" s="4"/>
      <c r="D463" s="4" t="str">
        <f>IF(A463="","",SUMIF(Anbar_Idxal!G:G,A463,Anbar_Idxal!H:H))</f>
        <v/>
      </c>
      <c r="E463" s="4" t="str">
        <f>IF(A463="","",SUMIF(Satislar!E:E,A463,Satislar!G:G))</f>
        <v/>
      </c>
      <c r="F463" s="4" t="str">
        <f t="shared" si="1"/>
        <v/>
      </c>
      <c r="G463" s="4" t="str">
        <f>IFERROR(VLOOKUP(A463,Mehsullar!A:F,6,FALSE),"")</f>
        <v/>
      </c>
      <c r="H463" s="4" t="str">
        <f t="shared" si="2"/>
        <v/>
      </c>
    </row>
    <row r="464" ht="15.75" customHeight="1">
      <c r="A464" s="4"/>
      <c r="B464" s="4"/>
      <c r="C464" s="4"/>
      <c r="D464" s="4" t="str">
        <f>IF(A464="","",SUMIF(Anbar_Idxal!G:G,A464,Anbar_Idxal!H:H))</f>
        <v/>
      </c>
      <c r="E464" s="4" t="str">
        <f>IF(A464="","",SUMIF(Satislar!E:E,A464,Satislar!G:G))</f>
        <v/>
      </c>
      <c r="F464" s="4" t="str">
        <f t="shared" si="1"/>
        <v/>
      </c>
      <c r="G464" s="4" t="str">
        <f>IFERROR(VLOOKUP(A464,Mehsullar!A:F,6,FALSE),"")</f>
        <v/>
      </c>
      <c r="H464" s="4" t="str">
        <f t="shared" si="2"/>
        <v/>
      </c>
    </row>
    <row r="465" ht="15.75" customHeight="1">
      <c r="A465" s="4"/>
      <c r="B465" s="4"/>
      <c r="C465" s="4"/>
      <c r="D465" s="4" t="str">
        <f>IF(A465="","",SUMIF(Anbar_Idxal!G:G,A465,Anbar_Idxal!H:H))</f>
        <v/>
      </c>
      <c r="E465" s="4" t="str">
        <f>IF(A465="","",SUMIF(Satislar!E:E,A465,Satislar!G:G))</f>
        <v/>
      </c>
      <c r="F465" s="4" t="str">
        <f t="shared" si="1"/>
        <v/>
      </c>
      <c r="G465" s="4" t="str">
        <f>IFERROR(VLOOKUP(A465,Mehsullar!A:F,6,FALSE),"")</f>
        <v/>
      </c>
      <c r="H465" s="4" t="str">
        <f t="shared" si="2"/>
        <v/>
      </c>
    </row>
    <row r="466" ht="15.75" customHeight="1">
      <c r="A466" s="4"/>
      <c r="B466" s="4"/>
      <c r="C466" s="4"/>
      <c r="D466" s="4" t="str">
        <f>IF(A466="","",SUMIF(Anbar_Idxal!G:G,A466,Anbar_Idxal!H:H))</f>
        <v/>
      </c>
      <c r="E466" s="4" t="str">
        <f>IF(A466="","",SUMIF(Satislar!E:E,A466,Satislar!G:G))</f>
        <v/>
      </c>
      <c r="F466" s="4" t="str">
        <f t="shared" si="1"/>
        <v/>
      </c>
      <c r="G466" s="4" t="str">
        <f>IFERROR(VLOOKUP(A466,Mehsullar!A:F,6,FALSE),"")</f>
        <v/>
      </c>
      <c r="H466" s="4" t="str">
        <f t="shared" si="2"/>
        <v/>
      </c>
    </row>
    <row r="467" ht="15.75" customHeight="1">
      <c r="A467" s="4"/>
      <c r="B467" s="4"/>
      <c r="C467" s="4"/>
      <c r="D467" s="4" t="str">
        <f>IF(A467="","",SUMIF(Anbar_Idxal!G:G,A467,Anbar_Idxal!H:H))</f>
        <v/>
      </c>
      <c r="E467" s="4" t="str">
        <f>IF(A467="","",SUMIF(Satislar!E:E,A467,Satislar!G:G))</f>
        <v/>
      </c>
      <c r="F467" s="4" t="str">
        <f t="shared" si="1"/>
        <v/>
      </c>
      <c r="G467" s="4" t="str">
        <f>IFERROR(VLOOKUP(A467,Mehsullar!A:F,6,FALSE),"")</f>
        <v/>
      </c>
      <c r="H467" s="4" t="str">
        <f t="shared" si="2"/>
        <v/>
      </c>
    </row>
    <row r="468" ht="15.75" customHeight="1">
      <c r="A468" s="4"/>
      <c r="B468" s="4"/>
      <c r="C468" s="4"/>
      <c r="D468" s="4" t="str">
        <f>IF(A468="","",SUMIF(Anbar_Idxal!G:G,A468,Anbar_Idxal!H:H))</f>
        <v/>
      </c>
      <c r="E468" s="4" t="str">
        <f>IF(A468="","",SUMIF(Satislar!E:E,A468,Satislar!G:G))</f>
        <v/>
      </c>
      <c r="F468" s="4" t="str">
        <f t="shared" si="1"/>
        <v/>
      </c>
      <c r="G468" s="4" t="str">
        <f>IFERROR(VLOOKUP(A468,Mehsullar!A:F,6,FALSE),"")</f>
        <v/>
      </c>
      <c r="H468" s="4" t="str">
        <f t="shared" si="2"/>
        <v/>
      </c>
    </row>
    <row r="469" ht="15.75" customHeight="1">
      <c r="A469" s="4"/>
      <c r="B469" s="4"/>
      <c r="C469" s="4"/>
      <c r="D469" s="4" t="str">
        <f>IF(A469="","",SUMIF(Anbar_Idxal!G:G,A469,Anbar_Idxal!H:H))</f>
        <v/>
      </c>
      <c r="E469" s="4" t="str">
        <f>IF(A469="","",SUMIF(Satislar!E:E,A469,Satislar!G:G))</f>
        <v/>
      </c>
      <c r="F469" s="4" t="str">
        <f t="shared" si="1"/>
        <v/>
      </c>
      <c r="G469" s="4" t="str">
        <f>IFERROR(VLOOKUP(A469,Mehsullar!A:F,6,FALSE),"")</f>
        <v/>
      </c>
      <c r="H469" s="4" t="str">
        <f t="shared" si="2"/>
        <v/>
      </c>
    </row>
    <row r="470" ht="15.75" customHeight="1">
      <c r="A470" s="4"/>
      <c r="B470" s="4"/>
      <c r="C470" s="4"/>
      <c r="D470" s="4" t="str">
        <f>IF(A470="","",SUMIF(Anbar_Idxal!G:G,A470,Anbar_Idxal!H:H))</f>
        <v/>
      </c>
      <c r="E470" s="4" t="str">
        <f>IF(A470="","",SUMIF(Satislar!E:E,A470,Satislar!G:G))</f>
        <v/>
      </c>
      <c r="F470" s="4" t="str">
        <f t="shared" si="1"/>
        <v/>
      </c>
      <c r="G470" s="4" t="str">
        <f>IFERROR(VLOOKUP(A470,Mehsullar!A:F,6,FALSE),"")</f>
        <v/>
      </c>
      <c r="H470" s="4" t="str">
        <f t="shared" si="2"/>
        <v/>
      </c>
    </row>
    <row r="471" ht="15.75" customHeight="1">
      <c r="A471" s="4"/>
      <c r="B471" s="4"/>
      <c r="C471" s="4"/>
      <c r="D471" s="4" t="str">
        <f>IF(A471="","",SUMIF(Anbar_Idxal!G:G,A471,Anbar_Idxal!H:H))</f>
        <v/>
      </c>
      <c r="E471" s="4" t="str">
        <f>IF(A471="","",SUMIF(Satislar!E:E,A471,Satislar!G:G))</f>
        <v/>
      </c>
      <c r="F471" s="4" t="str">
        <f t="shared" si="1"/>
        <v/>
      </c>
      <c r="G471" s="4" t="str">
        <f>IFERROR(VLOOKUP(A471,Mehsullar!A:F,6,FALSE),"")</f>
        <v/>
      </c>
      <c r="H471" s="4" t="str">
        <f t="shared" si="2"/>
        <v/>
      </c>
    </row>
    <row r="472" ht="15.75" customHeight="1">
      <c r="A472" s="4"/>
      <c r="B472" s="4"/>
      <c r="C472" s="4"/>
      <c r="D472" s="4" t="str">
        <f>IF(A472="","",SUMIF(Anbar_Idxal!G:G,A472,Anbar_Idxal!H:H))</f>
        <v/>
      </c>
      <c r="E472" s="4" t="str">
        <f>IF(A472="","",SUMIF(Satislar!E:E,A472,Satislar!G:G))</f>
        <v/>
      </c>
      <c r="F472" s="4" t="str">
        <f t="shared" si="1"/>
        <v/>
      </c>
      <c r="G472" s="4" t="str">
        <f>IFERROR(VLOOKUP(A472,Mehsullar!A:F,6,FALSE),"")</f>
        <v/>
      </c>
      <c r="H472" s="4" t="str">
        <f t="shared" si="2"/>
        <v/>
      </c>
    </row>
    <row r="473" ht="15.75" customHeight="1">
      <c r="A473" s="4"/>
      <c r="B473" s="4"/>
      <c r="C473" s="4"/>
      <c r="D473" s="4" t="str">
        <f>IF(A473="","",SUMIF(Anbar_Idxal!G:G,A473,Anbar_Idxal!H:H))</f>
        <v/>
      </c>
      <c r="E473" s="4" t="str">
        <f>IF(A473="","",SUMIF(Satislar!E:E,A473,Satislar!G:G))</f>
        <v/>
      </c>
      <c r="F473" s="4" t="str">
        <f t="shared" si="1"/>
        <v/>
      </c>
      <c r="G473" s="4" t="str">
        <f>IFERROR(VLOOKUP(A473,Mehsullar!A:F,6,FALSE),"")</f>
        <v/>
      </c>
      <c r="H473" s="4" t="str">
        <f t="shared" si="2"/>
        <v/>
      </c>
    </row>
    <row r="474" ht="15.75" customHeight="1">
      <c r="A474" s="4"/>
      <c r="B474" s="4"/>
      <c r="C474" s="4"/>
      <c r="D474" s="4" t="str">
        <f>IF(A474="","",SUMIF(Anbar_Idxal!G:G,A474,Anbar_Idxal!H:H))</f>
        <v/>
      </c>
      <c r="E474" s="4" t="str">
        <f>IF(A474="","",SUMIF(Satislar!E:E,A474,Satislar!G:G))</f>
        <v/>
      </c>
      <c r="F474" s="4" t="str">
        <f t="shared" si="1"/>
        <v/>
      </c>
      <c r="G474" s="4" t="str">
        <f>IFERROR(VLOOKUP(A474,Mehsullar!A:F,6,FALSE),"")</f>
        <v/>
      </c>
      <c r="H474" s="4" t="str">
        <f t="shared" si="2"/>
        <v/>
      </c>
    </row>
    <row r="475" ht="15.75" customHeight="1">
      <c r="A475" s="4"/>
      <c r="B475" s="4"/>
      <c r="C475" s="4"/>
      <c r="D475" s="4" t="str">
        <f>IF(A475="","",SUMIF(Anbar_Idxal!G:G,A475,Anbar_Idxal!H:H))</f>
        <v/>
      </c>
      <c r="E475" s="4" t="str">
        <f>IF(A475="","",SUMIF(Satislar!E:E,A475,Satislar!G:G))</f>
        <v/>
      </c>
      <c r="F475" s="4" t="str">
        <f t="shared" si="1"/>
        <v/>
      </c>
      <c r="G475" s="4" t="str">
        <f>IFERROR(VLOOKUP(A475,Mehsullar!A:F,6,FALSE),"")</f>
        <v/>
      </c>
      <c r="H475" s="4" t="str">
        <f t="shared" si="2"/>
        <v/>
      </c>
    </row>
    <row r="476" ht="15.75" customHeight="1">
      <c r="A476" s="4"/>
      <c r="B476" s="4"/>
      <c r="C476" s="4"/>
      <c r="D476" s="4" t="str">
        <f>IF(A476="","",SUMIF(Anbar_Idxal!G:G,A476,Anbar_Idxal!H:H))</f>
        <v/>
      </c>
      <c r="E476" s="4" t="str">
        <f>IF(A476="","",SUMIF(Satislar!E:E,A476,Satislar!G:G))</f>
        <v/>
      </c>
      <c r="F476" s="4" t="str">
        <f t="shared" si="1"/>
        <v/>
      </c>
      <c r="G476" s="4" t="str">
        <f>IFERROR(VLOOKUP(A476,Mehsullar!A:F,6,FALSE),"")</f>
        <v/>
      </c>
      <c r="H476" s="4" t="str">
        <f t="shared" si="2"/>
        <v/>
      </c>
    </row>
    <row r="477" ht="15.75" customHeight="1">
      <c r="A477" s="4"/>
      <c r="B477" s="4"/>
      <c r="C477" s="4"/>
      <c r="D477" s="4" t="str">
        <f>IF(A477="","",SUMIF(Anbar_Idxal!G:G,A477,Anbar_Idxal!H:H))</f>
        <v/>
      </c>
      <c r="E477" s="4" t="str">
        <f>IF(A477="","",SUMIF(Satislar!E:E,A477,Satislar!G:G))</f>
        <v/>
      </c>
      <c r="F477" s="4" t="str">
        <f t="shared" si="1"/>
        <v/>
      </c>
      <c r="G477" s="4" t="str">
        <f>IFERROR(VLOOKUP(A477,Mehsullar!A:F,6,FALSE),"")</f>
        <v/>
      </c>
      <c r="H477" s="4" t="str">
        <f t="shared" si="2"/>
        <v/>
      </c>
    </row>
    <row r="478" ht="15.75" customHeight="1">
      <c r="A478" s="4"/>
      <c r="B478" s="4"/>
      <c r="C478" s="4"/>
      <c r="D478" s="4" t="str">
        <f>IF(A478="","",SUMIF(Anbar_Idxal!G:G,A478,Anbar_Idxal!H:H))</f>
        <v/>
      </c>
      <c r="E478" s="4" t="str">
        <f>IF(A478="","",SUMIF(Satislar!E:E,A478,Satislar!G:G))</f>
        <v/>
      </c>
      <c r="F478" s="4" t="str">
        <f t="shared" si="1"/>
        <v/>
      </c>
      <c r="G478" s="4" t="str">
        <f>IFERROR(VLOOKUP(A478,Mehsullar!A:F,6,FALSE),"")</f>
        <v/>
      </c>
      <c r="H478" s="4" t="str">
        <f t="shared" si="2"/>
        <v/>
      </c>
    </row>
    <row r="479" ht="15.75" customHeight="1">
      <c r="A479" s="4"/>
      <c r="B479" s="4"/>
      <c r="C479" s="4"/>
      <c r="D479" s="4" t="str">
        <f>IF(A479="","",SUMIF(Anbar_Idxal!G:G,A479,Anbar_Idxal!H:H))</f>
        <v/>
      </c>
      <c r="E479" s="4" t="str">
        <f>IF(A479="","",SUMIF(Satislar!E:E,A479,Satislar!G:G))</f>
        <v/>
      </c>
      <c r="F479" s="4" t="str">
        <f t="shared" si="1"/>
        <v/>
      </c>
      <c r="G479" s="4" t="str">
        <f>IFERROR(VLOOKUP(A479,Mehsullar!A:F,6,FALSE),"")</f>
        <v/>
      </c>
      <c r="H479" s="4" t="str">
        <f t="shared" si="2"/>
        <v/>
      </c>
    </row>
    <row r="480" ht="15.75" customHeight="1">
      <c r="A480" s="4"/>
      <c r="B480" s="4"/>
      <c r="C480" s="4"/>
      <c r="D480" s="4" t="str">
        <f>IF(A480="","",SUMIF(Anbar_Idxal!G:G,A480,Anbar_Idxal!H:H))</f>
        <v/>
      </c>
      <c r="E480" s="4" t="str">
        <f>IF(A480="","",SUMIF(Satislar!E:E,A480,Satislar!G:G))</f>
        <v/>
      </c>
      <c r="F480" s="4" t="str">
        <f t="shared" si="1"/>
        <v/>
      </c>
      <c r="G480" s="4" t="str">
        <f>IFERROR(VLOOKUP(A480,Mehsullar!A:F,6,FALSE),"")</f>
        <v/>
      </c>
      <c r="H480" s="4" t="str">
        <f t="shared" si="2"/>
        <v/>
      </c>
    </row>
    <row r="481" ht="15.75" customHeight="1">
      <c r="A481" s="4"/>
      <c r="B481" s="4"/>
      <c r="C481" s="4"/>
      <c r="D481" s="4" t="str">
        <f>IF(A481="","",SUMIF(Anbar_Idxal!G:G,A481,Anbar_Idxal!H:H))</f>
        <v/>
      </c>
      <c r="E481" s="4" t="str">
        <f>IF(A481="","",SUMIF(Satislar!E:E,A481,Satislar!G:G))</f>
        <v/>
      </c>
      <c r="F481" s="4" t="str">
        <f t="shared" si="1"/>
        <v/>
      </c>
      <c r="G481" s="4" t="str">
        <f>IFERROR(VLOOKUP(A481,Mehsullar!A:F,6,FALSE),"")</f>
        <v/>
      </c>
      <c r="H481" s="4" t="str">
        <f t="shared" si="2"/>
        <v/>
      </c>
    </row>
    <row r="482" ht="15.75" customHeight="1">
      <c r="A482" s="4"/>
      <c r="B482" s="4"/>
      <c r="C482" s="4"/>
      <c r="D482" s="4" t="str">
        <f>IF(A482="","",SUMIF(Anbar_Idxal!G:G,A482,Anbar_Idxal!H:H))</f>
        <v/>
      </c>
      <c r="E482" s="4" t="str">
        <f>IF(A482="","",SUMIF(Satislar!E:E,A482,Satislar!G:G))</f>
        <v/>
      </c>
      <c r="F482" s="4" t="str">
        <f t="shared" si="1"/>
        <v/>
      </c>
      <c r="G482" s="4" t="str">
        <f>IFERROR(VLOOKUP(A482,Mehsullar!A:F,6,FALSE),"")</f>
        <v/>
      </c>
      <c r="H482" s="4" t="str">
        <f t="shared" si="2"/>
        <v/>
      </c>
    </row>
    <row r="483" ht="15.75" customHeight="1">
      <c r="A483" s="4"/>
      <c r="B483" s="4"/>
      <c r="C483" s="4"/>
      <c r="D483" s="4" t="str">
        <f>IF(A483="","",SUMIF(Anbar_Idxal!G:G,A483,Anbar_Idxal!H:H))</f>
        <v/>
      </c>
      <c r="E483" s="4" t="str">
        <f>IF(A483="","",SUMIF(Satislar!E:E,A483,Satislar!G:G))</f>
        <v/>
      </c>
      <c r="F483" s="4" t="str">
        <f t="shared" si="1"/>
        <v/>
      </c>
      <c r="G483" s="4" t="str">
        <f>IFERROR(VLOOKUP(A483,Mehsullar!A:F,6,FALSE),"")</f>
        <v/>
      </c>
      <c r="H483" s="4" t="str">
        <f t="shared" si="2"/>
        <v/>
      </c>
    </row>
    <row r="484" ht="15.75" customHeight="1">
      <c r="A484" s="4"/>
      <c r="B484" s="4"/>
      <c r="C484" s="4"/>
      <c r="D484" s="4" t="str">
        <f>IF(A484="","",SUMIF(Anbar_Idxal!G:G,A484,Anbar_Idxal!H:H))</f>
        <v/>
      </c>
      <c r="E484" s="4" t="str">
        <f>IF(A484="","",SUMIF(Satislar!E:E,A484,Satislar!G:G))</f>
        <v/>
      </c>
      <c r="F484" s="4" t="str">
        <f t="shared" si="1"/>
        <v/>
      </c>
      <c r="G484" s="4" t="str">
        <f>IFERROR(VLOOKUP(A484,Mehsullar!A:F,6,FALSE),"")</f>
        <v/>
      </c>
      <c r="H484" s="4" t="str">
        <f t="shared" si="2"/>
        <v/>
      </c>
    </row>
    <row r="485" ht="15.75" customHeight="1">
      <c r="A485" s="4"/>
      <c r="B485" s="4"/>
      <c r="C485" s="4"/>
      <c r="D485" s="4" t="str">
        <f>IF(A485="","",SUMIF(Anbar_Idxal!G:G,A485,Anbar_Idxal!H:H))</f>
        <v/>
      </c>
      <c r="E485" s="4" t="str">
        <f>IF(A485="","",SUMIF(Satislar!E:E,A485,Satislar!G:G))</f>
        <v/>
      </c>
      <c r="F485" s="4" t="str">
        <f t="shared" si="1"/>
        <v/>
      </c>
      <c r="G485" s="4" t="str">
        <f>IFERROR(VLOOKUP(A485,Mehsullar!A:F,6,FALSE),"")</f>
        <v/>
      </c>
      <c r="H485" s="4" t="str">
        <f t="shared" si="2"/>
        <v/>
      </c>
    </row>
    <row r="486" ht="15.75" customHeight="1">
      <c r="A486" s="4"/>
      <c r="B486" s="4"/>
      <c r="C486" s="4"/>
      <c r="D486" s="4" t="str">
        <f>IF(A486="","",SUMIF(Anbar_Idxal!G:G,A486,Anbar_Idxal!H:H))</f>
        <v/>
      </c>
      <c r="E486" s="4" t="str">
        <f>IF(A486="","",SUMIF(Satislar!E:E,A486,Satislar!G:G))</f>
        <v/>
      </c>
      <c r="F486" s="4" t="str">
        <f t="shared" si="1"/>
        <v/>
      </c>
      <c r="G486" s="4" t="str">
        <f>IFERROR(VLOOKUP(A486,Mehsullar!A:F,6,FALSE),"")</f>
        <v/>
      </c>
      <c r="H486" s="4" t="str">
        <f t="shared" si="2"/>
        <v/>
      </c>
    </row>
    <row r="487" ht="15.75" customHeight="1">
      <c r="A487" s="4"/>
      <c r="B487" s="4"/>
      <c r="C487" s="4"/>
      <c r="D487" s="4" t="str">
        <f>IF(A487="","",SUMIF(Anbar_Idxal!G:G,A487,Anbar_Idxal!H:H))</f>
        <v/>
      </c>
      <c r="E487" s="4" t="str">
        <f>IF(A487="","",SUMIF(Satislar!E:E,A487,Satislar!G:G))</f>
        <v/>
      </c>
      <c r="F487" s="4" t="str">
        <f t="shared" si="1"/>
        <v/>
      </c>
      <c r="G487" s="4" t="str">
        <f>IFERROR(VLOOKUP(A487,Mehsullar!A:F,6,FALSE),"")</f>
        <v/>
      </c>
      <c r="H487" s="4" t="str">
        <f t="shared" si="2"/>
        <v/>
      </c>
    </row>
    <row r="488" ht="15.75" customHeight="1">
      <c r="A488" s="4"/>
      <c r="B488" s="4"/>
      <c r="C488" s="4"/>
      <c r="D488" s="4" t="str">
        <f>IF(A488="","",SUMIF(Anbar_Idxal!G:G,A488,Anbar_Idxal!H:H))</f>
        <v/>
      </c>
      <c r="E488" s="4" t="str">
        <f>IF(A488="","",SUMIF(Satislar!E:E,A488,Satislar!G:G))</f>
        <v/>
      </c>
      <c r="F488" s="4" t="str">
        <f t="shared" si="1"/>
        <v/>
      </c>
      <c r="G488" s="4" t="str">
        <f>IFERROR(VLOOKUP(A488,Mehsullar!A:F,6,FALSE),"")</f>
        <v/>
      </c>
      <c r="H488" s="4" t="str">
        <f t="shared" si="2"/>
        <v/>
      </c>
    </row>
    <row r="489" ht="15.75" customHeight="1">
      <c r="A489" s="4"/>
      <c r="B489" s="4"/>
      <c r="C489" s="4"/>
      <c r="D489" s="4" t="str">
        <f>IF(A489="","",SUMIF(Anbar_Idxal!G:G,A489,Anbar_Idxal!H:H))</f>
        <v/>
      </c>
      <c r="E489" s="4" t="str">
        <f>IF(A489="","",SUMIF(Satislar!E:E,A489,Satislar!G:G))</f>
        <v/>
      </c>
      <c r="F489" s="4" t="str">
        <f t="shared" si="1"/>
        <v/>
      </c>
      <c r="G489" s="4" t="str">
        <f>IFERROR(VLOOKUP(A489,Mehsullar!A:F,6,FALSE),"")</f>
        <v/>
      </c>
      <c r="H489" s="4" t="str">
        <f t="shared" si="2"/>
        <v/>
      </c>
    </row>
    <row r="490" ht="15.75" customHeight="1">
      <c r="A490" s="4"/>
      <c r="B490" s="4"/>
      <c r="C490" s="4"/>
      <c r="D490" s="4" t="str">
        <f>IF(A490="","",SUMIF(Anbar_Idxal!G:G,A490,Anbar_Idxal!H:H))</f>
        <v/>
      </c>
      <c r="E490" s="4" t="str">
        <f>IF(A490="","",SUMIF(Satislar!E:E,A490,Satislar!G:G))</f>
        <v/>
      </c>
      <c r="F490" s="4" t="str">
        <f t="shared" si="1"/>
        <v/>
      </c>
      <c r="G490" s="4" t="str">
        <f>IFERROR(VLOOKUP(A490,Mehsullar!A:F,6,FALSE),"")</f>
        <v/>
      </c>
      <c r="H490" s="4" t="str">
        <f t="shared" si="2"/>
        <v/>
      </c>
    </row>
    <row r="491" ht="15.75" customHeight="1">
      <c r="A491" s="4"/>
      <c r="B491" s="4"/>
      <c r="C491" s="4"/>
      <c r="D491" s="4" t="str">
        <f>IF(A491="","",SUMIF(Anbar_Idxal!G:G,A491,Anbar_Idxal!H:H))</f>
        <v/>
      </c>
      <c r="E491" s="4" t="str">
        <f>IF(A491="","",SUMIF(Satislar!E:E,A491,Satislar!G:G))</f>
        <v/>
      </c>
      <c r="F491" s="4" t="str">
        <f t="shared" si="1"/>
        <v/>
      </c>
      <c r="G491" s="4" t="str">
        <f>IFERROR(VLOOKUP(A491,Mehsullar!A:F,6,FALSE),"")</f>
        <v/>
      </c>
      <c r="H491" s="4" t="str">
        <f t="shared" si="2"/>
        <v/>
      </c>
    </row>
    <row r="492" ht="15.75" customHeight="1">
      <c r="A492" s="4"/>
      <c r="B492" s="4"/>
      <c r="C492" s="4"/>
      <c r="D492" s="4" t="str">
        <f>IF(A492="","",SUMIF(Anbar_Idxal!G:G,A492,Anbar_Idxal!H:H))</f>
        <v/>
      </c>
      <c r="E492" s="4" t="str">
        <f>IF(A492="","",SUMIF(Satislar!E:E,A492,Satislar!G:G))</f>
        <v/>
      </c>
      <c r="F492" s="4" t="str">
        <f t="shared" si="1"/>
        <v/>
      </c>
      <c r="G492" s="4" t="str">
        <f>IFERROR(VLOOKUP(A492,Mehsullar!A:F,6,FALSE),"")</f>
        <v/>
      </c>
      <c r="H492" s="4" t="str">
        <f t="shared" si="2"/>
        <v/>
      </c>
    </row>
    <row r="493" ht="15.75" customHeight="1">
      <c r="A493" s="4"/>
      <c r="B493" s="4"/>
      <c r="C493" s="4"/>
      <c r="D493" s="4" t="str">
        <f>IF(A493="","",SUMIF(Anbar_Idxal!G:G,A493,Anbar_Idxal!H:H))</f>
        <v/>
      </c>
      <c r="E493" s="4" t="str">
        <f>IF(A493="","",SUMIF(Satislar!E:E,A493,Satislar!G:G))</f>
        <v/>
      </c>
      <c r="F493" s="4" t="str">
        <f t="shared" si="1"/>
        <v/>
      </c>
      <c r="G493" s="4" t="str">
        <f>IFERROR(VLOOKUP(A493,Mehsullar!A:F,6,FALSE),"")</f>
        <v/>
      </c>
      <c r="H493" s="4" t="str">
        <f t="shared" si="2"/>
        <v/>
      </c>
    </row>
    <row r="494" ht="15.75" customHeight="1">
      <c r="A494" s="4"/>
      <c r="B494" s="4"/>
      <c r="C494" s="4"/>
      <c r="D494" s="4" t="str">
        <f>IF(A494="","",SUMIF(Anbar_Idxal!G:G,A494,Anbar_Idxal!H:H))</f>
        <v/>
      </c>
      <c r="E494" s="4" t="str">
        <f>IF(A494="","",SUMIF(Satislar!E:E,A494,Satislar!G:G))</f>
        <v/>
      </c>
      <c r="F494" s="4" t="str">
        <f t="shared" si="1"/>
        <v/>
      </c>
      <c r="G494" s="4" t="str">
        <f>IFERROR(VLOOKUP(A494,Mehsullar!A:F,6,FALSE),"")</f>
        <v/>
      </c>
      <c r="H494" s="4" t="str">
        <f t="shared" si="2"/>
        <v/>
      </c>
    </row>
    <row r="495" ht="15.75" customHeight="1">
      <c r="A495" s="4"/>
      <c r="B495" s="4"/>
      <c r="C495" s="4"/>
      <c r="D495" s="4" t="str">
        <f>IF(A495="","",SUMIF(Anbar_Idxal!G:G,A495,Anbar_Idxal!H:H))</f>
        <v/>
      </c>
      <c r="E495" s="4" t="str">
        <f>IF(A495="","",SUMIF(Satislar!E:E,A495,Satislar!G:G))</f>
        <v/>
      </c>
      <c r="F495" s="4" t="str">
        <f t="shared" si="1"/>
        <v/>
      </c>
      <c r="G495" s="4" t="str">
        <f>IFERROR(VLOOKUP(A495,Mehsullar!A:F,6,FALSE),"")</f>
        <v/>
      </c>
      <c r="H495" s="4" t="str">
        <f t="shared" si="2"/>
        <v/>
      </c>
    </row>
    <row r="496" ht="15.75" customHeight="1">
      <c r="A496" s="4"/>
      <c r="B496" s="4"/>
      <c r="C496" s="4"/>
      <c r="D496" s="4" t="str">
        <f>IF(A496="","",SUMIF(Anbar_Idxal!G:G,A496,Anbar_Idxal!H:H))</f>
        <v/>
      </c>
      <c r="E496" s="4" t="str">
        <f>IF(A496="","",SUMIF(Satislar!E:E,A496,Satislar!G:G))</f>
        <v/>
      </c>
      <c r="F496" s="4" t="str">
        <f t="shared" si="1"/>
        <v/>
      </c>
      <c r="G496" s="4" t="str">
        <f>IFERROR(VLOOKUP(A496,Mehsullar!A:F,6,FALSE),"")</f>
        <v/>
      </c>
      <c r="H496" s="4" t="str">
        <f t="shared" si="2"/>
        <v/>
      </c>
    </row>
    <row r="497" ht="15.75" customHeight="1">
      <c r="A497" s="4"/>
      <c r="B497" s="4"/>
      <c r="C497" s="4"/>
      <c r="D497" s="4" t="str">
        <f>IF(A497="","",SUMIF(Anbar_Idxal!G:G,A497,Anbar_Idxal!H:H))</f>
        <v/>
      </c>
      <c r="E497" s="4" t="str">
        <f>IF(A497="","",SUMIF(Satislar!E:E,A497,Satislar!G:G))</f>
        <v/>
      </c>
      <c r="F497" s="4" t="str">
        <f t="shared" si="1"/>
        <v/>
      </c>
      <c r="G497" s="4" t="str">
        <f>IFERROR(VLOOKUP(A497,Mehsullar!A:F,6,FALSE),"")</f>
        <v/>
      </c>
      <c r="H497" s="4" t="str">
        <f t="shared" si="2"/>
        <v/>
      </c>
    </row>
    <row r="498" ht="15.75" customHeight="1">
      <c r="A498" s="4"/>
      <c r="B498" s="4"/>
      <c r="C498" s="4"/>
      <c r="D498" s="4" t="str">
        <f>IF(A498="","",SUMIF(Anbar_Idxal!G:G,A498,Anbar_Idxal!H:H))</f>
        <v/>
      </c>
      <c r="E498" s="4" t="str">
        <f>IF(A498="","",SUMIF(Satislar!E:E,A498,Satislar!G:G))</f>
        <v/>
      </c>
      <c r="F498" s="4" t="str">
        <f t="shared" si="1"/>
        <v/>
      </c>
      <c r="G498" s="4" t="str">
        <f>IFERROR(VLOOKUP(A498,Mehsullar!A:F,6,FALSE),"")</f>
        <v/>
      </c>
      <c r="H498" s="4" t="str">
        <f t="shared" si="2"/>
        <v/>
      </c>
    </row>
    <row r="499" ht="15.75" customHeight="1">
      <c r="A499" s="4"/>
      <c r="B499" s="4"/>
      <c r="C499" s="4"/>
      <c r="D499" s="4" t="str">
        <f>IF(A499="","",SUMIF(Anbar_Idxal!G:G,A499,Anbar_Idxal!H:H))</f>
        <v/>
      </c>
      <c r="E499" s="4" t="str">
        <f>IF(A499="","",SUMIF(Satislar!E:E,A499,Satislar!G:G))</f>
        <v/>
      </c>
      <c r="F499" s="4" t="str">
        <f t="shared" si="1"/>
        <v/>
      </c>
      <c r="G499" s="4" t="str">
        <f>IFERROR(VLOOKUP(A499,Mehsullar!A:F,6,FALSE),"")</f>
        <v/>
      </c>
      <c r="H499" s="4" t="str">
        <f t="shared" si="2"/>
        <v/>
      </c>
    </row>
    <row r="500" ht="15.75" customHeight="1">
      <c r="A500" s="4"/>
      <c r="B500" s="4"/>
      <c r="C500" s="4"/>
      <c r="D500" s="4" t="str">
        <f>IF(A500="","",SUMIF(Anbar_Idxal!G:G,A500,Anbar_Idxal!H:H))</f>
        <v/>
      </c>
      <c r="E500" s="4" t="str">
        <f>IF(A500="","",SUMIF(Satislar!E:E,A500,Satislar!G:G))</f>
        <v/>
      </c>
      <c r="F500" s="4" t="str">
        <f t="shared" si="1"/>
        <v/>
      </c>
      <c r="G500" s="4" t="str">
        <f>IFERROR(VLOOKUP(A500,Mehsullar!A:F,6,FALSE),"")</f>
        <v/>
      </c>
      <c r="H500" s="4" t="str">
        <f t="shared" si="2"/>
        <v/>
      </c>
    </row>
    <row r="501" ht="15.75" customHeight="1">
      <c r="A501" s="4"/>
      <c r="B501" s="4"/>
      <c r="C501" s="4"/>
      <c r="D501" s="4" t="str">
        <f>IF(A501="","",SUMIF(Anbar_Idxal!G:G,A501,Anbar_Idxal!H:H))</f>
        <v/>
      </c>
      <c r="E501" s="4" t="str">
        <f>IF(A501="","",SUMIF(Satislar!E:E,A501,Satislar!G:G))</f>
        <v/>
      </c>
      <c r="F501" s="4" t="str">
        <f t="shared" si="1"/>
        <v/>
      </c>
      <c r="G501" s="4" t="str">
        <f>IFERROR(VLOOKUP(A501,Mehsullar!A:F,6,FALSE),"")</f>
        <v/>
      </c>
      <c r="H501" s="4" t="str">
        <f t="shared" si="2"/>
        <v/>
      </c>
    </row>
  </sheetData>
  <autoFilter ref="$A$1:$H$50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4" width="16.0"/>
    <col customWidth="1" min="5" max="6" width="18.0"/>
    <col customWidth="1" min="7" max="7" width="20.0"/>
    <col customWidth="1" min="8" max="11" width="8.71"/>
  </cols>
  <sheetData>
    <row r="1">
      <c r="A1" s="7" t="s">
        <v>61</v>
      </c>
      <c r="B1" s="4"/>
      <c r="C1" s="4"/>
      <c r="D1" s="4"/>
      <c r="E1" s="4"/>
      <c r="F1" s="4"/>
      <c r="G1" s="4"/>
    </row>
    <row r="2">
      <c r="A2" s="4"/>
      <c r="B2" s="4"/>
      <c r="C2" s="4"/>
      <c r="D2" s="4"/>
      <c r="E2" s="4"/>
      <c r="F2" s="4"/>
      <c r="G2" s="4"/>
    </row>
    <row r="3">
      <c r="A3" s="4" t="s">
        <v>62</v>
      </c>
      <c r="B3" s="4">
        <v>10.0</v>
      </c>
      <c r="C3" s="4"/>
      <c r="D3" s="4"/>
      <c r="E3" s="4"/>
      <c r="F3" s="4"/>
      <c r="G3" s="4"/>
    </row>
    <row r="4">
      <c r="A4" s="4" t="s">
        <v>63</v>
      </c>
      <c r="B4" s="4">
        <v>2026.0</v>
      </c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5" t="s">
        <v>54</v>
      </c>
      <c r="B6" s="5" t="s">
        <v>64</v>
      </c>
      <c r="C6" s="5" t="s">
        <v>30</v>
      </c>
      <c r="D6" s="5" t="s">
        <v>32</v>
      </c>
      <c r="E6" s="5" t="s">
        <v>65</v>
      </c>
      <c r="F6" s="5" t="s">
        <v>51</v>
      </c>
      <c r="G6" s="5" t="s">
        <v>52</v>
      </c>
    </row>
    <row r="7">
      <c r="A7" s="4"/>
      <c r="B7" s="4"/>
      <c r="C7" s="4"/>
      <c r="D7" s="4"/>
      <c r="E7" s="4"/>
      <c r="F7" s="4"/>
      <c r="G7" s="4"/>
    </row>
    <row r="8">
      <c r="A8" s="4" t="s">
        <v>37</v>
      </c>
      <c r="B8" s="4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8"/>
  <mergeCells count="1">
    <mergeCell ref="B8:G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8.0"/>
    <col customWidth="1" min="4" max="4" width="30.0"/>
    <col customWidth="1" min="5" max="6" width="18.0"/>
    <col customWidth="1" min="7" max="7" width="35.0"/>
    <col customWidth="1" min="8" max="11" width="8.71"/>
  </cols>
  <sheetData>
    <row r="1">
      <c r="A1" s="5" t="s">
        <v>67</v>
      </c>
      <c r="B1" s="5" t="s">
        <v>49</v>
      </c>
      <c r="C1" s="5" t="s">
        <v>42</v>
      </c>
      <c r="D1" s="5" t="s">
        <v>43</v>
      </c>
      <c r="E1" s="5" t="s">
        <v>68</v>
      </c>
      <c r="F1" s="5" t="s">
        <v>69</v>
      </c>
      <c r="G1" s="5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12.0"/>
    <col customWidth="1" min="4" max="4" width="40.0"/>
    <col customWidth="1" min="5" max="11" width="8.71"/>
  </cols>
  <sheetData>
    <row r="1">
      <c r="A1" s="5" t="s">
        <v>70</v>
      </c>
      <c r="B1" s="5" t="s">
        <v>71</v>
      </c>
      <c r="C1" s="5" t="s">
        <v>41</v>
      </c>
      <c r="D1" s="5" t="s">
        <v>37</v>
      </c>
    </row>
    <row r="2">
      <c r="A2" s="4"/>
      <c r="B2" s="4" t="s">
        <v>72</v>
      </c>
      <c r="C2" s="4"/>
      <c r="D2" s="4"/>
    </row>
    <row r="3">
      <c r="A3" s="4"/>
      <c r="B3" s="4" t="s">
        <v>5</v>
      </c>
      <c r="C3" s="4"/>
      <c r="D3" s="4"/>
    </row>
    <row r="4">
      <c r="A4" s="4"/>
      <c r="B4" s="4" t="s">
        <v>73</v>
      </c>
      <c r="C4" s="4"/>
      <c r="D4" s="4"/>
    </row>
    <row r="5">
      <c r="A5" s="4"/>
      <c r="B5" s="4" t="s">
        <v>74</v>
      </c>
      <c r="C5" s="4"/>
      <c r="D5" s="4"/>
    </row>
    <row r="6">
      <c r="A6" s="4"/>
      <c r="B6" s="4" t="s">
        <v>75</v>
      </c>
      <c r="C6" s="4"/>
      <c r="D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6"/>
  <dataValidations>
    <dataValidation type="list" allowBlank="1" sqref="B2:B100">
      <formula1>"Admin,Satış,Anbar,Mühasibat,AI məhdud giriş"</formula1>
    </dataValidation>
    <dataValidation type="list" allowBlank="1" sqref="C2:C100">
      <formula1>"Bəli,Xeyr"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0.0"/>
    <col customWidth="1" min="2" max="11" width="8.71"/>
  </cols>
  <sheetData>
    <row r="1">
      <c r="A1" s="7" t="s">
        <v>76</v>
      </c>
    </row>
    <row r="2">
      <c r="A2" s="4"/>
    </row>
    <row r="3">
      <c r="A3" s="4" t="s">
        <v>77</v>
      </c>
    </row>
    <row r="4">
      <c r="A4" s="4" t="s">
        <v>78</v>
      </c>
    </row>
    <row r="5">
      <c r="A5" s="4" t="s">
        <v>79</v>
      </c>
    </row>
    <row r="6">
      <c r="A6" s="4" t="s">
        <v>80</v>
      </c>
    </row>
    <row r="7">
      <c r="A7" s="4" t="s">
        <v>81</v>
      </c>
    </row>
    <row r="8">
      <c r="A8" s="4" t="s">
        <v>82</v>
      </c>
    </row>
    <row r="9">
      <c r="A9" s="4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A$9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2026-10-06T14:47:52Z</dcterms:created>
  <dc:creator>openpyxl</dc:creator>
  <dcterms:modified xsi:type="dcterms:W3CDTF">2026-10-06T14:47:52Z</dcterms:modified>
</cp:coreProperties>
</file>